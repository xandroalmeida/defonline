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B PARCERIAS LTDA - ME\4 EB TECNOLOGIA\DEFweb.net\Testes\"/>
    </mc:Choice>
  </mc:AlternateContent>
  <xr:revisionPtr revIDLastSave="0" documentId="8_{4F351F0C-0F34-4E94-BD77-BBDB6D8137A6}" xr6:coauthVersionLast="47" xr6:coauthVersionMax="47" xr10:uidLastSave="{00000000-0000-0000-0000-000000000000}"/>
  <bookViews>
    <workbookView xWindow="-108" yWindow="-108" windowWidth="23256" windowHeight="12456" firstSheet="3" activeTab="3" xr2:uid="{003BDEF0-542B-403B-8CC7-CBC53BAC981C}"/>
  </bookViews>
  <sheets>
    <sheet name="Canvas" sheetId="11" state="hidden" r:id="rId1"/>
    <sheet name="Insights" sheetId="8" state="hidden" r:id="rId2"/>
    <sheet name="Ações" sheetId="9" state="hidden" r:id="rId3"/>
    <sheet name="Entrada de dados" sheetId="1" r:id="rId4"/>
    <sheet name="Relatório" sheetId="2" r:id="rId5"/>
    <sheet name="Assinatura" sheetId="6" state="hidden" r:id="rId6"/>
    <sheet name="lista" sheetId="10" state="hidden" r:id="rId7"/>
  </sheets>
  <definedNames>
    <definedName name="_xlnm._FilterDatabase" localSheetId="2" hidden="1">Ações!$A$1:$J$96</definedName>
    <definedName name="_xlnm._FilterDatabase" localSheetId="3" hidden="1">'Entrada de dados'!$A$1:$I$374</definedName>
    <definedName name="_xlnm.Print_Area" localSheetId="3">'Entrada de dados'!$A$1:$G$86</definedName>
    <definedName name="_xlnm.Print_Titles" localSheetId="3">'Entrada de dados'!#REF!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" i="2" l="1"/>
  <c r="B2" i="2"/>
  <c r="B1" i="2"/>
  <c r="C45" i="2" l="1"/>
  <c r="B35" i="2" l="1"/>
  <c r="B33" i="2"/>
  <c r="B32" i="2"/>
  <c r="B30" i="2"/>
  <c r="B29" i="2"/>
  <c r="B24" i="2"/>
  <c r="B25" i="2" s="1"/>
  <c r="B22" i="2"/>
  <c r="B23" i="2" s="1"/>
  <c r="B19" i="2"/>
  <c r="B20" i="2" s="1"/>
  <c r="B16" i="2"/>
  <c r="B15" i="2"/>
  <c r="B13" i="2"/>
  <c r="B14" i="2" s="1"/>
  <c r="C46" i="2" l="1"/>
  <c r="B31" i="2"/>
  <c r="B34" i="2" s="1"/>
  <c r="B17" i="2"/>
  <c r="B26" i="2"/>
  <c r="B18" i="2" l="1"/>
  <c r="B21" i="2" s="1"/>
  <c r="B27" i="2" s="1"/>
  <c r="C43" i="2" s="1"/>
  <c r="C47" i="2"/>
  <c r="C41" i="2"/>
  <c r="C38" i="2"/>
  <c r="B36" i="2"/>
  <c r="C40" i="2" s="1"/>
  <c r="C39" i="2"/>
  <c r="C42" i="2"/>
  <c r="B28" i="2" l="1"/>
  <c r="C44" i="2" s="1"/>
</calcChain>
</file>

<file path=xl/sharedStrings.xml><?xml version="1.0" encoding="utf-8"?>
<sst xmlns="http://schemas.openxmlformats.org/spreadsheetml/2006/main" count="579" uniqueCount="412">
  <si>
    <t>lucro bruto / vendas * 100</t>
  </si>
  <si>
    <t>Lucro operacional antes IR e Desp Fin / ROL * 100</t>
  </si>
  <si>
    <t>LOL / ROL * 100</t>
  </si>
  <si>
    <t>Despesas Financeiras / LO * 100</t>
  </si>
  <si>
    <t>(PC + ELP + REF) /  PL</t>
  </si>
  <si>
    <t>2 x ROL  / Ativo total médio</t>
  </si>
  <si>
    <t>Até 10%</t>
  </si>
  <si>
    <t>Entre 11 e 20%</t>
  </si>
  <si>
    <t>Acima de 20%</t>
  </si>
  <si>
    <t>Até 3%</t>
  </si>
  <si>
    <t>Acima de 6%</t>
  </si>
  <si>
    <t>Até 20%</t>
  </si>
  <si>
    <t>Entre 30 e 50%</t>
  </si>
  <si>
    <t>Acima de 50%</t>
  </si>
  <si>
    <t>Até 1</t>
  </si>
  <si>
    <t>Entre 1 e 2</t>
  </si>
  <si>
    <t>Acima de 2</t>
  </si>
  <si>
    <t>Indicadores</t>
  </si>
  <si>
    <t>email</t>
  </si>
  <si>
    <t>DEF realizados (ddmmaa)</t>
  </si>
  <si>
    <t>E-mail</t>
  </si>
  <si>
    <t xml:space="preserve">Valor médio mensal das compras realizadas nos últimos 12 meses (R$ mil) </t>
  </si>
  <si>
    <t xml:space="preserve">Valor médio mensal das vendas realizadas nos últimos 12 meses (R$ mil) </t>
  </si>
  <si>
    <t>Prazo médio de pagamento das compras: (dias):</t>
  </si>
  <si>
    <t>Prazo médio de recebimento das vendas (dias):</t>
  </si>
  <si>
    <t>Valor médio mensal pago em juros (R$ mil);</t>
  </si>
  <si>
    <t>ID, Usuário (CNPJ ou CPF)</t>
  </si>
  <si>
    <t>CNPJ ou/CPF</t>
  </si>
  <si>
    <t>Pagamento Assinatura (ddmmaa)</t>
  </si>
  <si>
    <t>senha vigente?</t>
  </si>
  <si>
    <t>Reduzir custos nas compras, não confundir faturamento com lucro, ampliar a carteira de clientes e a participação no mercado, identificar produtos com menor margem de contribuição para zerar o estoque dos mesmos e focar naqueles com maior margem</t>
  </si>
  <si>
    <t>Revisar e acompanhar os custos,apurar as margens de contribuição dos itens mais representativos, aumentar a participação no mercado e ampliar a carteira de clientes</t>
  </si>
  <si>
    <t>Enxugar estruturas e reduzir custos e despesas, não confundir faturamento com lucro, não misturar o "caixa do negócio" com o "bolso do dono", estabelecer módica retirada para os sócios (pró-labore)</t>
  </si>
  <si>
    <t>Acompanhar com rigor as despesas financeiras em face de antecipação de faturas de cartão de crédito, desconto de cheques e duplicatas, empréstimos e financiamentos</t>
  </si>
  <si>
    <t>Reduzir o endividamento, identificar eventuais ativos não operacionais, redundantes, subutilizados, sucateados e ou não essenciais que possam ser monetizados e transformados em Capital de Giro Próprio (CDG), reduzir o volume de recursos de terceiros aplicados no negócio, imobilizar somente o indispensável, postergar investimentos</t>
  </si>
  <si>
    <r>
      <t>Gerenciar estoques para manter somente o mínimo necessário (</t>
    </r>
    <r>
      <rPr>
        <i/>
        <sz val="12"/>
        <color theme="1"/>
        <rFont val="Arial"/>
        <family val="2"/>
      </rPr>
      <t>just in time</t>
    </r>
    <r>
      <rPr>
        <sz val="12"/>
        <color theme="1"/>
        <rFont val="Arial"/>
        <family val="2"/>
      </rPr>
      <t>)</t>
    </r>
  </si>
  <si>
    <t>Pugnar pelo aumento dos prazos para pagamento das compras a fornecedores</t>
  </si>
  <si>
    <t>Acompanhar os pedidos, compras, estoques e nível de vendas</t>
  </si>
  <si>
    <t>Ampliar a carteira de clientes, aumentar a participação no mercado, identificar possíveis alternativas de redução do prazo de recebimento das vendas</t>
  </si>
  <si>
    <t>Monitorar os prazos das vendas, pugnar para que sejam sempre o menor possível</t>
  </si>
  <si>
    <t>Vender com os menores prazos, ampliar a carteira de clientes e aumentar a participação no mercado, aumentr os prazos para pagamento das compras a fornecedores, reduzir o prazo de recebimento das vendas, implementar estratégias de aumento da rotação das mercadorias dos estoques, reduzir o descasamento das contas a pagar e a receber</t>
  </si>
  <si>
    <t>Pugnar pelo aumento dos prazos para pagamento das compras a fornecedores, identificar possíveis alternativas de redução do prazo de recebimento das vendas, implementar estratégias de aumento da rotação das mercadorias dos estoques; reduzir o descasamento das contas a pagar e a receber</t>
  </si>
  <si>
    <t>INDICADOR</t>
  </si>
  <si>
    <t>Esse público tem pouca orientação sobre a importância desse tipo de informação para o negócio</t>
  </si>
  <si>
    <t>Há dificuldade de contadores cobrarem honorário justo pelos serviços contábeis obrigatórios</t>
  </si>
  <si>
    <t>RESPONSÁVEL</t>
  </si>
  <si>
    <t>INTERVENIENTE</t>
  </si>
  <si>
    <t>ENCAMINHAMENTOS</t>
  </si>
  <si>
    <t>STATUS</t>
  </si>
  <si>
    <t>DATA</t>
  </si>
  <si>
    <t>FOLLOW UP</t>
  </si>
  <si>
    <t>EBC</t>
  </si>
  <si>
    <t>TO DO</t>
  </si>
  <si>
    <t>DOING</t>
  </si>
  <si>
    <t>DONE</t>
  </si>
  <si>
    <t>Sondar potencial parceiro que assuma MKT/comercial, no risco</t>
  </si>
  <si>
    <t xml:space="preserve">Alex </t>
  </si>
  <si>
    <t>Consultar alguns contadores sobre a efetiva necessidade do produto por parte dos micro e pequenos empresários</t>
  </si>
  <si>
    <t>Margem Operacional Líquida (MOL)</t>
  </si>
  <si>
    <t>Relação entre as Fontes de Recursos (RFR)</t>
  </si>
  <si>
    <t>Prazo Médio de Pagamento das Compras (PMC)</t>
  </si>
  <si>
    <t>Prazo Médio de Permanência dos Estoques (PME)</t>
  </si>
  <si>
    <t>Prazo Médio de Recebimento das Vendas (PMR)</t>
  </si>
  <si>
    <t>Ciclo Financeiro (CF)</t>
  </si>
  <si>
    <t>Quantidade de MEI existentes no país</t>
  </si>
  <si>
    <t>Quantidade de micro empresas existentes no país</t>
  </si>
  <si>
    <t>Quantidade de pequenas empresas existentes no país</t>
  </si>
  <si>
    <t>SEBRAE, 2023: 6 milhões de MPE</t>
  </si>
  <si>
    <t>Quantidade de CNPJ existentes no país</t>
  </si>
  <si>
    <t>MDIC, Set/23: 21 milhões</t>
  </si>
  <si>
    <t>RFB, Set/23: 15 milhões
IBGE, 2021: 13 milhões = 69% do total; 50% serviços, 29%o ficinas</t>
  </si>
  <si>
    <t>A empresa precisa ficar consultando o aplicativo em quando tempo em média?</t>
  </si>
  <si>
    <t>Acompanhar os números para manter a margem atual com melhoria contínua</t>
  </si>
  <si>
    <t>Até 5%</t>
  </si>
  <si>
    <t>Enxugar estruturas, reduzir custos e despesas, ampliar a carteira de clientes e a participação no mercado, estabelecer módica retirada para os sócios (pró-labore), não confundir Faturamento com Lucro nem misturar o "caixa do negócio" com o "bolso do dono"</t>
  </si>
  <si>
    <t>Revisar estruturas para identificar necessidade de enxugamento, revisar e acompanhar custos e despesas, principalmente os fixos</t>
  </si>
  <si>
    <t>Acompanhar os números para melhorar a margem atual</t>
  </si>
  <si>
    <t>Entre 3 e 6%</t>
  </si>
  <si>
    <t>Revisar estruturas para identificar necessidade de enxugamento, revisar e acompanhar custos e despesas, principalmente juros de antecipação de faturas de cartão de crédito, pagamentos em atraso, empréstimos, financiamentos, outras dívidas</t>
  </si>
  <si>
    <t>Acompanhar os números com vistas a melhorar a margem atual</t>
  </si>
  <si>
    <t>Evitar antecipação de faturas de cartão de crédito, desconto de cheques e duplicatas, bem como empréstimos de curto prazo e juros elevados, monitorar o crescimento das despesas financeiras</t>
  </si>
  <si>
    <t>Reduzir as Despesas Financeiras, não realizar antecipação de faturas de cartão de crédito, desconto de cheques e duplicatas, não recorrer a agiotas. Para investimentos efetivamente indispensáveis, obter recursos de longo prazo a juros subsidiados. Fugir de empréstimos de curto prazo e juros elevados, imobilizar somente o indispensável, postergar investimentos</t>
  </si>
  <si>
    <t>Evitar antecipação de faturas de cartão de crédito, desconto de cheques e duplicatas, empréstimos, financiamentos e outras dívidas</t>
  </si>
  <si>
    <t>Acompanhar com rigor as despesas financeiras com antecipação de faturas de cartão de crédito, desconto de cheques e duplicatas, empréstimos, financiamentos e outras dívidas</t>
  </si>
  <si>
    <t xml:space="preserve">Acompanhar diariamente o nível de estoques </t>
  </si>
  <si>
    <r>
      <t>Gerenciar estoques para manter somente o mínimo necessário (</t>
    </r>
    <r>
      <rPr>
        <i/>
        <sz val="12"/>
        <color theme="1"/>
        <rFont val="Arial"/>
        <family val="2"/>
      </rPr>
      <t>just in time</t>
    </r>
    <r>
      <rPr>
        <sz val="12"/>
        <color theme="1"/>
        <rFont val="Arial"/>
        <family val="2"/>
      </rPr>
      <t>), aumentar a participação no mercado e a carteira de clientes, ajustar o volume de pedido e compras com as vendas, prazos de pagamento das compras e de recebimento dos clientes</t>
    </r>
  </si>
  <si>
    <t>Aumentar, de imediato, os prazos para pagamento das compras a fornecedores, ajustar pepdidos, compras, estoques e nível de vendas</t>
  </si>
  <si>
    <t>Acima de 60</t>
  </si>
  <si>
    <t>Acompanhar a gestão do estoque e avaliar as estratégias implantadas para aumento da rotação das mercadorias dos estoques</t>
  </si>
  <si>
    <t xml:space="preserve">Gerenciar o estoque, ampliar a carteira de clientes e aumentar a participação no mercado, </t>
  </si>
  <si>
    <t>Gerenciar o estoque para manter somente o mínimo necessário (just in time), ampliar a carteira de clientes e aumentar a participação no mercado, implementar estratégias de aumento da rotação das mercadorias dos estoques</t>
  </si>
  <si>
    <t>Vender com os menores prazos, ampliar a carteira de clientes, aumentar a participação no mercado, implementar, com urgência, estratégias eficazes para redução do prazo de recebimento das vendas</t>
  </si>
  <si>
    <t>Acompanhar os prazos para pagamento das compras a fornecedores e recebimento das vendas, e a rotação das mercadorias dos estoques</t>
  </si>
  <si>
    <t xml:space="preserve">Quem serão os beneficiários do projeto? </t>
  </si>
  <si>
    <t xml:space="preserve">Evidenciar o efeito do projeto e resultado esperado.  
Definir métrica realistas e alcançáveis.  
A meta precisa ser bem identificada e aprovada por meio das áreas envolvidas. </t>
  </si>
  <si>
    <t>Exploração e busca por alternativas</t>
  </si>
  <si>
    <t>Definição do Overview Design 
Construir o documento para o primeiro integrável e apresentar para os agentes responsáveis</t>
  </si>
  <si>
    <t>o desempenho de cada empresa precisa ser avaliado constantemente</t>
  </si>
  <si>
    <t>PAGAMENTO</t>
  </si>
  <si>
    <t>Chave Pix</t>
  </si>
  <si>
    <t>28.261.669/0001-56</t>
  </si>
  <si>
    <t>Dados Bancários</t>
  </si>
  <si>
    <t>Banco: 077</t>
  </si>
  <si>
    <t>Agência: 0001  </t>
  </si>
  <si>
    <t>Conta: 28166130-8</t>
  </si>
  <si>
    <t>CNPJ: 28261669/0001/-56</t>
  </si>
  <si>
    <t>EB PARCERIAS LTDA</t>
  </si>
  <si>
    <t>acesso do usuário para alimentar a entrada de dados somente após cadastro login (CPNJ/CPF, email, senha) e conferência do pagamento da assinatura, no prazo de validadde (até 12 meses após a data do pagamento)</t>
  </si>
  <si>
    <t>estratégias de divulgação em redes sociais</t>
  </si>
  <si>
    <t>O principal benefício do produto deve ser explicável em uma frase</t>
  </si>
  <si>
    <t>Elaborar cronograma do desenvolvimento do MPV do APP/site</t>
  </si>
  <si>
    <t>EBJ</t>
  </si>
  <si>
    <t>Criar um nome que ajude nas vendas</t>
  </si>
  <si>
    <t>as oportunidades estão nas necessidades</t>
  </si>
  <si>
    <t>"um negócio existe apenas quando é percebido pelos outros"</t>
  </si>
  <si>
    <t>oferecer mais que os concorrentes</t>
  </si>
  <si>
    <t>ideia precisa atrair o interesse e a atenção</t>
  </si>
  <si>
    <t>Performace quando muitos usuários usarem ao mesmo tempo</t>
  </si>
  <si>
    <t>plano de contingência</t>
  </si>
  <si>
    <t>quais as melhores formas de se chegar ao cliente</t>
  </si>
  <si>
    <t>é preciso pensar em formas de incentivar que o produto seja conhecido amplamente e consumido</t>
  </si>
  <si>
    <t>versões em português, espanhol, inglês e francês</t>
  </si>
  <si>
    <t>necessidade reconhecida pelo mercado</t>
  </si>
  <si>
    <t>Testar a ideia</t>
  </si>
  <si>
    <t>cronograma de desenvolvimento da estrutura básica do MVP (APP IOS/Android e site)</t>
  </si>
  <si>
    <t>ir além do trivial, do óbvio</t>
  </si>
  <si>
    <t>ingredientes essenciais: visual, emocional, funcional, financeiro, concentração, diferenciação, organização, inovação, comunicação</t>
  </si>
  <si>
    <t>"nunca se obtém uma segunda chance para ter uma primeira impressão"</t>
  </si>
  <si>
    <t>inovação se preocupa com eficácia: mais rápido, mais barato, mais bonito, mais sofisticado, mais qualidade</t>
  </si>
  <si>
    <t>empresas inovadoras criam mercado</t>
  </si>
  <si>
    <t>propósito bem estabelecido</t>
  </si>
  <si>
    <t>qual o problema o DEF on line vai resolver</t>
  </si>
  <si>
    <t>escolher pessoas para apontar pontos cegos do produto</t>
  </si>
  <si>
    <t>experiência do usuário</t>
  </si>
  <si>
    <t>nenhum usuário vai pagar mais do que o valor que percebe</t>
  </si>
  <si>
    <t>"nenhum usuário vai pagar mais do que o valor que percebe"</t>
  </si>
  <si>
    <t>processos e práticas de venda</t>
  </si>
  <si>
    <t>Plataforma com informações consistentes</t>
  </si>
  <si>
    <t>Há pessoas que sabem da importância mas não valorizam</t>
  </si>
  <si>
    <t>Acredito seria utilizado sim. Inicialmente, pelo menos. Hoje se testa aplicativo diariamente, mas também são descartados na mesma velocidade se não atendem à expectativa do usuário</t>
  </si>
  <si>
    <t>Se não custar muito caro produzir e disponibilizar para os usuários, pode valer a pena testar a viabilidade de oferecer serviços a partir do app</t>
  </si>
  <si>
    <t>Existe o entendimento da característica do problema, a necessidade do usuário e aspectos envolvidos? 
Problema não detectado: Avaliar e localizar desconfortos no dia a dia do usuário; 
Problema detectado: Validar com outras pessoas, pelos menos com cinco que possua desconforto parecido e descubra mais informação</t>
  </si>
  <si>
    <t xml:space="preserve">Qual abordagem ou metodologia o projeto seguirá?  
Quais as principais datas ou momentos importantes em pontos principais?  
Como tratar os entregáveis de design?  </t>
  </si>
  <si>
    <t>o DEF on line permite que o empresário identifique possíveis problemas e enxergue oportunidades de melhoria em seu negócio</t>
  </si>
  <si>
    <t>Como é que clientes tomam conhecimento do DEF on line e chegam ao produto?</t>
  </si>
  <si>
    <t>Canalizar o produto para como dará maior resultado mais rápido</t>
  </si>
  <si>
    <t>posicionar protótipo na mente do consumidor</t>
  </si>
  <si>
    <t xml:space="preserve">descobrir porque e como outros negócios digitais similares (analogos) estão dando certo </t>
  </si>
  <si>
    <t>comunicação simples, objetiva, direta</t>
  </si>
  <si>
    <t xml:space="preserve">por que vão comprar </t>
  </si>
  <si>
    <t>produto inédito, único</t>
  </si>
  <si>
    <t>recebendo opiniões, questionamentos e teste (Bernardo, Paulo Vizeu, Paula, Ana Gurgel, Danilo Brito, Demotier, Eliésio, José Augusto, Josenilton, Damacena, Sidney e outros 40 )</t>
  </si>
  <si>
    <t>SUGESTÕES DE VALOR</t>
  </si>
  <si>
    <t xml:space="preserve">Não parcelar </t>
  </si>
  <si>
    <t>apresentação e divulgação do produto: a arte de contar história (pitch): verdadeira, convincente, cativante</t>
  </si>
  <si>
    <t>suporte de especialista em finanças para esclarecer dúvidas por email</t>
  </si>
  <si>
    <t>eb@ebparcerias.com</t>
  </si>
  <si>
    <t>a responsabilidade pela qualidade das informações alimentadas na Entrada de Dados é do usuário assinante, esclarecido que a assertividade e análise técnica depende da coerência dos dados digitados</t>
  </si>
  <si>
    <t>assinalamento pelo assinante</t>
  </si>
  <si>
    <t>estrutura aberta para permitir, em novas versões, a integração com TEF, por exemplo, dashboard, gráficos etc</t>
  </si>
  <si>
    <t>Transparência, segurança da informação, LGPD</t>
  </si>
  <si>
    <t xml:space="preserve">PITH de apresentação para a equipe </t>
  </si>
  <si>
    <t xml:space="preserve">Por que o projeto é importante? 
Determinar o método para medir e avaliar os resultados finais do projeto; 
Certificar se os objetivos específicos estão associados aos resultados esperados e garantir meios para avaliação e verificação. </t>
  </si>
  <si>
    <t xml:space="preserve">https://analistamodelosdenegocios.com.br/canvas-da-proposta-de-valor/ </t>
  </si>
  <si>
    <t>armazenamento em nuvem</t>
  </si>
  <si>
    <t>saber se os MEI, Micro e Pequenos empresários tê interesse no APP DEF on line</t>
  </si>
  <si>
    <t>definir problema/oportunidade</t>
  </si>
  <si>
    <t>criar protótipo</t>
  </si>
  <si>
    <t>testar protótipo</t>
  </si>
  <si>
    <t>congregar afiliados para divulgação com comissão</t>
  </si>
  <si>
    <t>receber pagamentos das assinaturas sem burocracia</t>
  </si>
  <si>
    <t>vantagens da automação, de forma técnica, seguro, em linguagem inteligível, objetiva, clara</t>
  </si>
  <si>
    <t>entregar experiência única, chamar a atenção do público</t>
  </si>
  <si>
    <t>entregar algo relevante para o públic-alvo</t>
  </si>
  <si>
    <t>Estimativa quantitativa de micro e pequenas empresas como público-alvo?</t>
  </si>
  <si>
    <t>Metas evolluta de assinantes?</t>
  </si>
  <si>
    <t>Público-alvo precisa compreender a importância do DEF on line</t>
  </si>
  <si>
    <t>Valor do estoque nesta data (R$ mil)</t>
  </si>
  <si>
    <t>Inadimplência de Clientes</t>
  </si>
  <si>
    <t>até 3%</t>
  </si>
  <si>
    <t>acima de 5%</t>
  </si>
  <si>
    <t>entre 3 e 5%</t>
  </si>
  <si>
    <t>Manter-se muito atento à gestão da carteira de cobrança de recebíveis</t>
  </si>
  <si>
    <t xml:space="preserve">Revisar condições, premissas, parâmetros e procedimentos de análise de crédito para venda a prazo, e acompanhar com rigor a carteira de cobrança </t>
  </si>
  <si>
    <t>Vender somente à vista para clientes que se tornaram adimplentes e recalibrar a política de vendas a prazo, análise de crédito e intensificar a cobrança e negociação com vistas a receber as dívidas em atraso no menor prazo possível</t>
  </si>
  <si>
    <t>Google Sheets estará por trás do APP?</t>
  </si>
  <si>
    <t>alertar usuários que os valores devem se referir à situação na data da entrada de dados, e o próprio APP/Sistema assume data/hora/usuário</t>
  </si>
  <si>
    <t>Valor venal de mercado estimado dos imóveis, equipamentos e veículos (R$ mil)</t>
  </si>
  <si>
    <t>Percentual médio de atraso de clientes no pagamento das vendas a prazo (%):</t>
  </si>
  <si>
    <t>BUYER persona</t>
  </si>
  <si>
    <t>adequar a linguagem (não usar termos técnicos na entrada de dados nem relatórios)</t>
  </si>
  <si>
    <t xml:space="preserve">Menos de 1 milhão </t>
  </si>
  <si>
    <t>se incrementar com gráficos, dar uma enfeitada, tirar a imagem de ser só um excel... 1/2 salario</t>
  </si>
  <si>
    <t>incrementar com gráficos, dar uma enfeitada, tirar a imagem de ser só um excel</t>
  </si>
  <si>
    <t>interface informacional, ajudar a entrada de dados</t>
  </si>
  <si>
    <t>ASSINATURA ANUAL</t>
  </si>
  <si>
    <t>mocaps</t>
  </si>
  <si>
    <t>MoCap</t>
  </si>
  <si>
    <t>AÇÃO</t>
  </si>
  <si>
    <t>INSIGHTS E DESAFIOS</t>
  </si>
  <si>
    <t>OBSERVAÇÕES E ENCAMINHAMENTOS</t>
  </si>
  <si>
    <t>PARCERIAS</t>
  </si>
  <si>
    <t xml:space="preserve">Sócios, no risco: </t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</si>
  <si>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"/>
        <family val="2"/>
      </rPr>
      <t>Desenvolvedor, TI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</si>
  <si>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"/>
        <family val="2"/>
      </rPr>
      <t>Vendas, Marketing</t>
    </r>
  </si>
  <si>
    <t>ATIVIDADES-CHAVE</t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</si>
  <si>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"/>
        <family val="2"/>
      </rPr>
      <t>Teste manual com 3 empresas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</si>
  <si>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"/>
        <family val="2"/>
      </rPr>
      <t>Desenvolvimento estrutura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</si>
  <si>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"/>
        <family val="2"/>
      </rPr>
      <t>Banco de dados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</si>
  <si>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"/>
        <family val="2"/>
      </rPr>
      <t>Fórmulas para indicadores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</si>
  <si>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"/>
        <family val="2"/>
      </rPr>
      <t>Indexação relatório recomendações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</si>
  <si>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"/>
        <family val="2"/>
      </rPr>
      <t xml:space="preserve">prototipagem 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</si>
  <si>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"/>
        <family val="2"/>
      </rPr>
      <t>MVP: Validação da plataforma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</si>
  <si>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"/>
        <family val="2"/>
      </rPr>
      <t>Página inicial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</si>
  <si>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"/>
        <family val="2"/>
      </rPr>
      <t>Estratégia de marketing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</si>
  <si>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"/>
        <family val="2"/>
      </rPr>
      <t>Produção mídia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</si>
  <si>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"/>
        <family val="2"/>
      </rPr>
      <t xml:space="preserve">Entrada de Dados (cliente) 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</si>
  <si>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"/>
        <family val="2"/>
      </rPr>
      <t>Tratamento das informações e Emissão de Relatório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</si>
  <si>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"/>
        <family val="2"/>
      </rPr>
      <t>Registro, Hospedagem, INPI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</si>
  <si>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"/>
        <family val="2"/>
      </rPr>
      <t>Suporte técnico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</si>
  <si>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"/>
        <family val="2"/>
      </rPr>
      <t xml:space="preserve">Atualização da plataforma 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</si>
  <si>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"/>
        <family val="2"/>
      </rPr>
      <t>Monitoramento</t>
    </r>
  </si>
  <si>
    <t>RECURSOS-CHAVE</t>
  </si>
  <si>
    <r>
      <t>·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Arial"/>
        <family val="2"/>
      </rPr>
      <t>Desenvolvimento sistema web</t>
    </r>
  </si>
  <si>
    <r>
      <t>·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Arial"/>
        <family val="2"/>
      </rPr>
      <t>Marketing</t>
    </r>
  </si>
  <si>
    <r>
      <t>·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Arial"/>
        <family val="2"/>
      </rPr>
      <t>SEO: Otimização para motores busca</t>
    </r>
  </si>
  <si>
    <t>PROPOSTA DE VALOR</t>
  </si>
  <si>
    <r>
      <t>ü</t>
    </r>
    <r>
      <rPr>
        <sz val="7"/>
        <color theme="1"/>
        <rFont val="Times New Roman"/>
        <family val="1"/>
      </rPr>
      <t xml:space="preserve"> </t>
    </r>
    <r>
      <rPr>
        <sz val="10"/>
        <color theme="1"/>
        <rFont val="Arial"/>
        <family val="2"/>
      </rPr>
      <t>Avaliar a situação econômico-financeira de empresas, via internet, automatizada;</t>
    </r>
  </si>
  <si>
    <r>
      <t>ü</t>
    </r>
    <r>
      <rPr>
        <sz val="7"/>
        <color theme="1"/>
        <rFont val="Times New Roman"/>
        <family val="1"/>
      </rPr>
      <t xml:space="preserve"> </t>
    </r>
    <r>
      <rPr>
        <sz val="10"/>
        <color theme="1"/>
        <rFont val="Arial"/>
        <family val="2"/>
      </rPr>
      <t>Contribuir para melhoria de decisões e otimizar resultados;</t>
    </r>
  </si>
  <si>
    <t>VANTAGEM COMPETITIVA:</t>
  </si>
  <si>
    <r>
      <t>ü</t>
    </r>
    <r>
      <rPr>
        <sz val="7"/>
        <color rgb="FF000000"/>
        <rFont val="Times New Roman"/>
        <family val="1"/>
      </rPr>
      <t xml:space="preserve"> </t>
    </r>
    <r>
      <rPr>
        <sz val="10"/>
        <color rgb="FF000000"/>
        <rFont val="Arial"/>
        <family val="2"/>
      </rPr>
      <t>Atendimento específico de necessidades de empresários;</t>
    </r>
  </si>
  <si>
    <r>
      <t>ü</t>
    </r>
    <r>
      <rPr>
        <sz val="7"/>
        <color theme="1"/>
        <rFont val="Times New Roman"/>
        <family val="1"/>
      </rPr>
      <t xml:space="preserve"> </t>
    </r>
    <r>
      <rPr>
        <sz val="10"/>
        <color theme="1"/>
        <rFont val="Arial"/>
        <family val="2"/>
      </rPr>
      <t>Fácil operacionalização;</t>
    </r>
  </si>
  <si>
    <r>
      <t>ü</t>
    </r>
    <r>
      <rPr>
        <sz val="7"/>
        <color theme="1"/>
        <rFont val="Times New Roman"/>
        <family val="1"/>
      </rPr>
      <t xml:space="preserve"> </t>
    </r>
    <r>
      <rPr>
        <sz val="10"/>
        <color theme="1"/>
        <rFont val="Arial"/>
        <family val="2"/>
      </rPr>
      <t xml:space="preserve">Navegação rápida; </t>
    </r>
  </si>
  <si>
    <r>
      <t>ü</t>
    </r>
    <r>
      <rPr>
        <sz val="7"/>
        <color theme="1"/>
        <rFont val="Times New Roman"/>
        <family val="1"/>
      </rPr>
      <t xml:space="preserve"> </t>
    </r>
    <r>
      <rPr>
        <sz val="10"/>
        <color theme="1"/>
        <rFont val="Arial"/>
        <family val="2"/>
      </rPr>
      <t>Simplicidade;</t>
    </r>
  </si>
  <si>
    <r>
      <t>ü</t>
    </r>
    <r>
      <rPr>
        <sz val="7"/>
        <color theme="1"/>
        <rFont val="Times New Roman"/>
        <family val="1"/>
      </rPr>
      <t xml:space="preserve"> </t>
    </r>
    <r>
      <rPr>
        <sz val="10"/>
        <color theme="1"/>
        <rFont val="Arial"/>
        <family val="2"/>
      </rPr>
      <t>Segurança;</t>
    </r>
  </si>
  <si>
    <r>
      <t>ü</t>
    </r>
    <r>
      <rPr>
        <sz val="7"/>
        <color theme="1"/>
        <rFont val="Times New Roman"/>
        <family val="1"/>
      </rPr>
      <t xml:space="preserve"> </t>
    </r>
    <r>
      <rPr>
        <sz val="10"/>
        <color theme="1"/>
        <rFont val="Arial"/>
        <family val="2"/>
      </rPr>
      <t>Uso intuitivo;</t>
    </r>
  </si>
  <si>
    <r>
      <t>ü</t>
    </r>
    <r>
      <rPr>
        <sz val="7"/>
        <color rgb="FFFF0000"/>
        <rFont val="Times New Roman"/>
        <family val="1"/>
      </rPr>
      <t xml:space="preserve"> </t>
    </r>
    <r>
      <rPr>
        <sz val="10"/>
        <color theme="1"/>
        <rFont val="Arial"/>
        <family val="2"/>
      </rPr>
      <t>Responsivo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</si>
  <si>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"/>
        <family val="2"/>
      </rPr>
      <t xml:space="preserve"> Autosserviço interativo via internet 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</si>
  <si>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"/>
        <family val="2"/>
      </rPr>
      <t>Cliente digita as informações (conforme lista de ENTRADA DE DADOS)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</si>
  <si>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10"/>
        <color theme="1"/>
        <rFont val="Arial"/>
        <family val="2"/>
      </rPr>
      <t xml:space="preserve">Sistema emite relatório </t>
    </r>
  </si>
  <si>
    <t>CANAIS</t>
  </si>
  <si>
    <t>Tráfego pago, Google ads</t>
  </si>
  <si>
    <t>Instagram, Facebook, Twiter, Youtube, linkedin, whats app</t>
  </si>
  <si>
    <r>
      <t>M</t>
    </r>
    <r>
      <rPr>
        <sz val="10"/>
        <color theme="1"/>
        <rFont val="Calibri"/>
        <family val="2"/>
        <scheme val="minor"/>
      </rPr>
      <t xml:space="preserve">EI, Micro e Pequenas </t>
    </r>
    <r>
      <rPr>
        <sz val="10"/>
        <color theme="1"/>
        <rFont val="Arial"/>
        <family val="2"/>
      </rPr>
      <t>Empresas</t>
    </r>
  </si>
  <si>
    <t>ESTRUTURA DE CUSTOS</t>
  </si>
  <si>
    <t xml:space="preserve">FONTES DE RECEITAS  </t>
  </si>
  <si>
    <t>R$ assinatura anual
Ou
Grátis, se houver convênio/patrocínio: Sebrae, BB, CNC, CNI, BNB, CDL, Federações</t>
  </si>
  <si>
    <t>RELACIONAMENTOS  COM CLIENTES</t>
  </si>
  <si>
    <t>SEGMENTOS DE CLIENTES</t>
  </si>
  <si>
    <t xml:space="preserve">
•	Desenvolvimento R$ 
•	Registro, Domínio, Hospedagem, VPS,SSL,  Provedor, Banco de dados, Nuvem R$
•	Teste, MVP, validação, marketing, divulgação na mídia e redes sociais R$
•	Manutenção, Suporte: mensal R$ </t>
  </si>
  <si>
    <t>branding</t>
  </si>
  <si>
    <t>sem escala a conta não fecha</t>
  </si>
  <si>
    <t>resolver algum problema para a sociedade</t>
  </si>
  <si>
    <t>conexão com o cliente</t>
  </si>
  <si>
    <t>leitura do perfil do cliente</t>
  </si>
  <si>
    <t>acordo de sócios</t>
  </si>
  <si>
    <t>contar históricas bem sucedidas de clientes</t>
  </si>
  <si>
    <t>geração de leads</t>
  </si>
  <si>
    <t>convencer clientes a usarem o app</t>
  </si>
  <si>
    <t>um bom negócio dá certo porque é bem executado, alguém desenvolveu um bom produto, vendeu bastante,, atendeu bem clientes e os reteve</t>
  </si>
  <si>
    <t>entregar conteúdo de graça</t>
  </si>
  <si>
    <t>mostrar o valor é essencial para o sucesso de uma venda</t>
  </si>
  <si>
    <t>crie conteúdo relevante</t>
  </si>
  <si>
    <t>chamar a atenção de sua audiência</t>
  </si>
  <si>
    <t xml:space="preserve">Definir um problema simples o suficiente:  
Por que gostaríamos de fazer isso? 
Qual seria o motivo para fazer isso?  </t>
  </si>
  <si>
    <t>EMAIL</t>
  </si>
  <si>
    <t>RAZÃO SOCIAL</t>
  </si>
  <si>
    <t>NOME FANTASIA</t>
  </si>
  <si>
    <t>DATA FUNDAÇÃO</t>
  </si>
  <si>
    <t>CNAE PRINCIPAL</t>
  </si>
  <si>
    <t>MUNICÍPIO</t>
  </si>
  <si>
    <t>UF</t>
  </si>
  <si>
    <t>SITUAÇÃO</t>
  </si>
  <si>
    <t>"</t>
  </si>
  <si>
    <t>CNPJ ou CPF</t>
  </si>
  <si>
    <t>API de consulta dados públicos na RFB, a partir do CNPJ</t>
  </si>
  <si>
    <t>alerta responsabilidade assinante pela consistência das informações digitadas na Entrada de Dados</t>
  </si>
  <si>
    <t>Situação em DDMMAAAA, APP assume automaticamente data/hora preenchimento Entrada de Dados</t>
  </si>
  <si>
    <t>Disponibilidades em caixa, bancos, aplicações (o total, nesta data, independente do prazo)</t>
  </si>
  <si>
    <t>Montate das duplicatas, cheques e cartão de crédito a receber (R$ mil),  (o total, nesta data, independente do prazo)</t>
  </si>
  <si>
    <t>Saldo devedor dos empréstimos, financiamentos e outras Dívidas a pagar (R$ mil),  (o total, nesta data, independente do prazo)</t>
  </si>
  <si>
    <t>Débitos com fornecedores (R$ mil),  (o total, nesta data, independente do prazo)</t>
  </si>
  <si>
    <r>
      <t xml:space="preserve">Valor médio mensal de saídas do caixa para custos fixos (folha de pagamento, encargos sociais, contador, aluguel, condomínio, energia, água, telefone, internet, franquia, tarifas, retirada de sócios, </t>
    </r>
    <r>
      <rPr>
        <i/>
        <sz val="10"/>
        <color theme="1"/>
        <rFont val="Arial"/>
        <family val="2"/>
      </rPr>
      <t>pró-labore e</t>
    </r>
    <r>
      <rPr>
        <sz val="10"/>
        <color theme="1"/>
        <rFont val="Arial"/>
        <family val="2"/>
      </rPr>
      <t xml:space="preserve"> outras despesas fixas) em R$ mil</t>
    </r>
  </si>
  <si>
    <t>Valor médio mensal de saídas do caixa para custos variáveis (pagamento de compras, fretes, impostos, taxas, despesas de venda, comissões e outras despesas variáveis) em R$ mil</t>
  </si>
  <si>
    <t>BALANÇO E DRE ADAPTADOS</t>
  </si>
  <si>
    <t>Disponibilidades</t>
  </si>
  <si>
    <t>ACF</t>
  </si>
  <si>
    <t>Clientes</t>
  </si>
  <si>
    <t>ACC</t>
  </si>
  <si>
    <t>AC</t>
  </si>
  <si>
    <t>Imobilizado</t>
  </si>
  <si>
    <t>ANC</t>
  </si>
  <si>
    <t>Ativo</t>
  </si>
  <si>
    <t>Empréstimos</t>
  </si>
  <si>
    <t>PCF</t>
  </si>
  <si>
    <t>Fornecedores</t>
  </si>
  <si>
    <t>PCC</t>
  </si>
  <si>
    <t>PC</t>
  </si>
  <si>
    <t>PL</t>
  </si>
  <si>
    <t>Passivo</t>
  </si>
  <si>
    <t>Despesas fixas</t>
  </si>
  <si>
    <t>Despesas variáveis</t>
  </si>
  <si>
    <t>Despesas financeiras</t>
  </si>
  <si>
    <t>PME + PMR – PMC</t>
  </si>
  <si>
    <t>Lucro Operacional (Ebitda)</t>
  </si>
  <si>
    <t>Lucro Operacional Líquido (MOL)</t>
  </si>
  <si>
    <t>Lucro Bruto (MB)</t>
  </si>
  <si>
    <t>(o balanço não precisa ser mostrado no relatório)</t>
  </si>
  <si>
    <t>Setor de atuação</t>
  </si>
  <si>
    <t>( (PCF+Fin.LP) -ACF) / Ebitda</t>
  </si>
  <si>
    <t xml:space="preserve">Fórmula </t>
  </si>
  <si>
    <t>até 2</t>
  </si>
  <si>
    <t>entre 2 e 3</t>
  </si>
  <si>
    <t>acima de 3</t>
  </si>
  <si>
    <t>Manter acompanhamento do nível de endividamento saudável</t>
  </si>
  <si>
    <t>Evitar empréstimos de curto prazo e juros elevados</t>
  </si>
  <si>
    <t>Reduzir endividamento, não realizar antecipação de faturas de cartão de crédito, desconto de cheques e duplicatas, não recorrer a agiotas. Para investimentos efetivamente indispensáveis, obter recursos de longo prazo a juros subsidiados. Fugir de empréstimos de curto prazo e juros elevados, imobilizar somente o indispensável, postergar investimentos</t>
  </si>
  <si>
    <t>se SERVIÇO</t>
  </si>
  <si>
    <t>se INDÚSTRIA</t>
  </si>
  <si>
    <t>se COMÉRCIO</t>
  </si>
  <si>
    <t>RECOMENDAÇÕES (Comércio)</t>
  </si>
  <si>
    <t>RECOMENDAÇÕES (Serviço)</t>
  </si>
  <si>
    <t>RECOMENDAÇÕES (Indústria)</t>
  </si>
  <si>
    <t>Até 15%</t>
  </si>
  <si>
    <t>Entre 15 e 25%</t>
  </si>
  <si>
    <t>Acima de 25%</t>
  </si>
  <si>
    <t>Entre 21 e 30%</t>
  </si>
  <si>
    <t>Acima de 30%</t>
  </si>
  <si>
    <t>Até 8%</t>
  </si>
  <si>
    <t>Acima de 12%</t>
  </si>
  <si>
    <t>Acima de 15%</t>
  </si>
  <si>
    <t>Até 2</t>
  </si>
  <si>
    <t>Entre 2 e 3</t>
  </si>
  <si>
    <t>Acima de 3</t>
  </si>
  <si>
    <t>Até 30 dias</t>
  </si>
  <si>
    <t>segmentar as recomendações conforme o setor de atividade</t>
  </si>
  <si>
    <t>Setor de atuação (Indústria, Comércio, Serviços?)</t>
  </si>
  <si>
    <t>Reduzir custos nas compras, não confundir faturamento com lucro, ampliar a carteira de clientes e a participação no mercado, identificar produtos com menor margem de contribuição e focar naqueles com maior margem</t>
  </si>
  <si>
    <t>Aumentar a participação no mercado e a carteira de clientes, ajustar prazos de pagamento das compras e de recebimento dos clientes</t>
  </si>
  <si>
    <t>Aumentar prazo para pagamento a fornecedores e nível com o nível de vendas</t>
  </si>
  <si>
    <t>Acompanhar compras e nível de vendas</t>
  </si>
  <si>
    <t>ampliar a carteira de clientes e aumentar a participação no mercado</t>
  </si>
  <si>
    <t>Vender com os menores prazos, ampliar a carteira de clientes e aumentar a participação no mercado, aumentr os prazos para pagamento das compras a fornecedores, reduzir o prazo de recebimento das vendas, reduzir o descasamento das contas a pagar e a receber</t>
  </si>
  <si>
    <t>Realizar “check-up”, mostrar uma "fotografia" da realidade de empresas de MEI, Micro e Pequenas Empresas;</t>
  </si>
  <si>
    <t>Antecipação a problemas;
Acompanhamento efetivo do desempenho do negócio;
Identificação tempestiva e preventiva de anomalias;</t>
  </si>
  <si>
    <t>definir direcionamentos claros</t>
  </si>
  <si>
    <t>Opção para imprimir ou salvar em pdf o Relatório com indicadores e recomendações técnicas em linguagem amigável, objetiva e clara</t>
  </si>
  <si>
    <t>Fácil operacionalização;
Navegação rápida; 
Simplicidade;
Segurança;
Uso intuitivo;
Responsivo</t>
  </si>
  <si>
    <t>PROPOSTA DE VALOR: Avaliar a situação econômico-financeira do negócio, via APP ou site</t>
  </si>
  <si>
    <t>Declaração do atual cenário do projeto 
Início dos levantamentos do problema, oportunidade e/ou desafio que darão origem ao projetos pontos declarados e apresentados por agentes envolvidos foram postos de maneira clara e realista
utilize ferramentas como: Análise de SWOT ou Realização de Workshop para explorar melhor o problema.</t>
  </si>
  <si>
    <t>Entre 30 e 60</t>
  </si>
  <si>
    <t>Margem Bruta</t>
  </si>
  <si>
    <t>Relação Dívida Líquida / Ebitda</t>
  </si>
  <si>
    <t>Giro do Ativo (GA)</t>
  </si>
  <si>
    <t>campos hachurados não são mostrados</t>
  </si>
  <si>
    <t>(  ) Li e aceito os termos do Contrato de Adesão e Assinatura.</t>
  </si>
  <si>
    <t>Prazo médio de permanência dos estoques (dias): mede a eficiência com que os estoques são administrados</t>
  </si>
  <si>
    <t>Acima de 1</t>
  </si>
  <si>
    <t>Até 0,5</t>
  </si>
  <si>
    <t>Entre 0,5 e 1</t>
  </si>
  <si>
    <t>Margem Operacional
(EBTIDA)</t>
  </si>
  <si>
    <t>Relação Despesas Financeiras e EBITDA</t>
  </si>
  <si>
    <t>Entre 8 e 12%</t>
  </si>
  <si>
    <t>Entre 5 e 10%</t>
  </si>
  <si>
    <t>Acima de 10%</t>
  </si>
  <si>
    <t>Entre 10 e 15%</t>
  </si>
  <si>
    <t>Entre 5 e 8%</t>
  </si>
  <si>
    <t>Acima de 8%</t>
  </si>
  <si>
    <t>Entre 20 e 40%</t>
  </si>
  <si>
    <t>Acima de 40%</t>
  </si>
  <si>
    <t>Até 30%</t>
  </si>
  <si>
    <t>Relação NCG/Vendas</t>
  </si>
  <si>
    <t>(ACC-PCC)/ROB</t>
  </si>
  <si>
    <t>Vendas (ROB, ROL)</t>
  </si>
  <si>
    <t>Compras (CPF, CMV, CSV)</t>
  </si>
  <si>
    <t>se negativo</t>
  </si>
  <si>
    <t>até 10%</t>
  </si>
  <si>
    <t>acima de 10%</t>
  </si>
  <si>
    <t>Manter-se alerta às vendas a prazo, acompanhar o crescimento da rentabilidade e disponibilidade de capital de giro suficiente (recursos próprios) para financiar as vendas a prazo, para que não venha a causar insolvência.</t>
  </si>
  <si>
    <t>Não é recomendável a elevação das atividades e da NCG, se não acompanhada na mesma proporção pelo aumento das fontes de financiamento de longo prazo. A constante dependência de empréstimos demonstra a insuficiência de capital próprio para financiar as vendas a prazo.</t>
  </si>
  <si>
    <t>Margem Operacional Líquida (MOL): parcela operacional de lucro obtida sobre as vendas</t>
  </si>
  <si>
    <t xml:space="preserve">Relação Despesas Financeiras e Ebitda: representa a participação dos bancos no lucro </t>
  </si>
  <si>
    <t>Margem Operacional (EBITDA): mede a eficiência em produzir lucros por meio das vendas</t>
  </si>
  <si>
    <t>Giro do Ativo (GA): quantas vezes girou o ativo da empresa durante o período</t>
  </si>
  <si>
    <t xml:space="preserve">Relação Dívida Líquida / Ebitda: demonstra o número de períodos que uma empresa levaria para pagar sua dívida líquida </t>
  </si>
  <si>
    <t>Ciclo Financeiro (CF): necessidade de financiamento complementar do capital de giro, em número de dias, em média</t>
  </si>
  <si>
    <t>QUANTO MAIOR</t>
  </si>
  <si>
    <t>MELHOR</t>
  </si>
  <si>
    <t>PIOR</t>
  </si>
  <si>
    <t>Relação entre as Fontes de Recursos – RFR: quanto a empresa possui de recursos de terceiros para cada unidade do capital próprio, retrata a dependência de recursos externos</t>
  </si>
  <si>
    <t>Pode indicar que a empresa não necessita de recursos para o giro de seus negócios. NCG negativa significa Investimento Operacional em Giro (IOG)</t>
  </si>
  <si>
    <t>Até 35%</t>
  </si>
  <si>
    <t>Entre 35 e 50%</t>
  </si>
  <si>
    <t>Acompanhar os números com vistas a melhorar a performace</t>
  </si>
  <si>
    <t>Manter e melhorar a performace</t>
  </si>
  <si>
    <t>Acompanhar os prazos para pagamento das compras a fornecedores e recebimento das vendas</t>
  </si>
  <si>
    <t>Pugnar pelo aumento dos prazos para pagamento das compras a fornecedores, identificar possíveis alternativas de redução do prazo de recebimento das vendas, reduzir o descasamento das contas a pagar e a receber</t>
  </si>
  <si>
    <t>Estoques</t>
  </si>
  <si>
    <t>(  ) LGPD</t>
  </si>
  <si>
    <t>(  ) Quero receber mailing da EB Parcerias</t>
  </si>
  <si>
    <t>degustação 1 mês grátis</t>
  </si>
  <si>
    <t>Termo assinado em 17-11-2023</t>
  </si>
  <si>
    <t>Compartilhar minutas básicas do modelo de negócios, estrutura, entrada de dados, relatório, contrato de parceria e assinatura por usuários</t>
  </si>
  <si>
    <t>Enviado para análise por Alex e EBJ</t>
  </si>
  <si>
    <t>Alex e EBJ</t>
  </si>
  <si>
    <t>Firmar NDA sobre DEF on line</t>
  </si>
  <si>
    <t>Confirmar interesse na sociedade e no risco desenvolver MVP, assumir TI</t>
  </si>
  <si>
    <t>Desenvolver MoCap</t>
  </si>
  <si>
    <t>Análise minutas: modelo de negócios, estrutura, entrada de dados, relatório, contrato de parceria e assinatura por usuários</t>
  </si>
  <si>
    <t>Necessidade de Capital de Giro (NCG)</t>
  </si>
  <si>
    <t>Estoques + Clientes - Fornecedores</t>
  </si>
  <si>
    <t>MAIS PRECISA DE CAPITAIS DE TERCEIROS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</si>
</sst>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7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b/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  <font>
      <i/>
      <sz val="10"/>
      <color theme="1"/>
      <name val="Arial"/>
      <family val="2"/>
    </font>
    <font>
      <sz val="12"/>
      <color rgb="FF222222"/>
      <name val="Arial"/>
      <family val="2"/>
    </font>
    <font>
      <b/>
      <sz val="14"/>
      <color theme="1"/>
      <name val="Arial"/>
      <family val="2"/>
    </font>
    <font>
      <b/>
      <sz val="14"/>
      <color rgb="FFFF0000"/>
      <name val="Arial"/>
      <family val="2"/>
    </font>
    <font>
      <b/>
      <sz val="10"/>
      <color theme="1"/>
      <name val="Arial"/>
      <family val="2"/>
    </font>
    <font>
      <b/>
      <sz val="12"/>
      <color rgb="FFFF0000"/>
      <name val="Arial"/>
      <family val="2"/>
    </font>
    <font>
      <sz val="10"/>
      <color theme="1"/>
      <name val="Symbol"/>
      <family val="1"/>
      <charset val="2"/>
    </font>
    <font>
      <sz val="7"/>
      <color theme="1"/>
      <name val="Times New Roman"/>
      <family val="1"/>
    </font>
    <font>
      <sz val="10"/>
      <color theme="1"/>
      <name val="Wingdings"/>
      <charset val="2"/>
    </font>
    <font>
      <b/>
      <sz val="10"/>
      <color rgb="FFFF0000"/>
      <name val="Arial"/>
      <family val="2"/>
    </font>
    <font>
      <sz val="10"/>
      <color rgb="FF000000"/>
      <name val="Wingdings"/>
      <charset val="2"/>
    </font>
    <font>
      <sz val="7"/>
      <color rgb="FF000000"/>
      <name val="Times New Roman"/>
      <family val="1"/>
    </font>
    <font>
      <sz val="10"/>
      <color rgb="FFFF0000"/>
      <name val="Wingdings"/>
      <charset val="2"/>
    </font>
    <font>
      <sz val="7"/>
      <color rgb="FFFF0000"/>
      <name val="Times New Roman"/>
      <family val="1"/>
    </font>
    <font>
      <sz val="12"/>
      <name val="Arial"/>
      <family val="2"/>
    </font>
    <font>
      <sz val="1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0"/>
      <name val="Arial"/>
      <family val="2"/>
    </font>
    <font>
      <b/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13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1" fillId="2" borderId="0" xfId="0" applyFont="1" applyFill="1" applyAlignment="1">
      <alignment horizontal="left"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164" fontId="1" fillId="2" borderId="0" xfId="0" applyNumberFormat="1" applyFont="1" applyFill="1" applyAlignment="1">
      <alignment horizontal="left" vertical="center" wrapText="1"/>
    </xf>
    <xf numFmtId="164" fontId="1" fillId="2" borderId="0" xfId="0" applyNumberFormat="1" applyFont="1" applyFill="1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justify" vertical="center" wrapText="1"/>
    </xf>
    <xf numFmtId="164" fontId="3" fillId="0" borderId="0" xfId="0" applyNumberFormat="1" applyFont="1" applyAlignment="1">
      <alignment horizontal="justify" vertical="center"/>
    </xf>
    <xf numFmtId="164" fontId="5" fillId="0" borderId="0" xfId="0" applyNumberFormat="1" applyFont="1" applyAlignment="1">
      <alignment horizontal="justify" vertical="center" wrapText="1"/>
    </xf>
    <xf numFmtId="14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0" borderId="0" xfId="0" quotePrefix="1" applyFont="1" applyAlignment="1">
      <alignment horizontal="justify" vertical="center"/>
    </xf>
    <xf numFmtId="14" fontId="1" fillId="0" borderId="0" xfId="0" applyNumberFormat="1" applyFont="1" applyAlignment="1">
      <alignment horizontal="left" vertical="center"/>
    </xf>
    <xf numFmtId="14" fontId="1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0" fillId="0" borderId="0" xfId="0" applyAlignment="1">
      <alignment vertical="center"/>
    </xf>
    <xf numFmtId="43" fontId="11" fillId="0" borderId="0" xfId="1" applyFont="1" applyBorder="1" applyAlignment="1">
      <alignment horizontal="left" vertical="center"/>
    </xf>
    <xf numFmtId="43" fontId="11" fillId="0" borderId="0" xfId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justify" vertical="center" wrapText="1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9" fillId="0" borderId="1" xfId="0" applyFont="1" applyBorder="1" applyAlignment="1">
      <alignment horizontal="justify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3" fontId="7" fillId="0" borderId="1" xfId="1" applyFont="1" applyBorder="1" applyAlignment="1">
      <alignment horizontal="right" vertical="center"/>
    </xf>
    <xf numFmtId="14" fontId="1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3" fillId="0" borderId="1" xfId="0" applyFont="1" applyBorder="1" applyAlignment="1">
      <alignment horizontal="justify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justify" vertical="center" wrapText="1"/>
    </xf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43" fontId="10" fillId="4" borderId="1" xfId="1" applyFont="1" applyFill="1" applyBorder="1" applyAlignment="1">
      <alignment horizontal="left" vertical="center"/>
    </xf>
    <xf numFmtId="164" fontId="10" fillId="4" borderId="1" xfId="1" applyNumberFormat="1" applyFont="1" applyFill="1" applyBorder="1" applyAlignment="1">
      <alignment horizontal="left" vertical="center"/>
    </xf>
    <xf numFmtId="164" fontId="10" fillId="4" borderId="1" xfId="1" applyNumberFormat="1" applyFont="1" applyFill="1" applyBorder="1" applyAlignment="1">
      <alignment horizontal="left" vertical="center" wrapText="1"/>
    </xf>
    <xf numFmtId="16" fontId="1" fillId="0" borderId="1" xfId="0" applyNumberFormat="1" applyFont="1" applyBorder="1" applyAlignment="1">
      <alignment vertical="center" wrapText="1"/>
    </xf>
    <xf numFmtId="0" fontId="16" fillId="4" borderId="0" xfId="0" applyFont="1" applyFill="1"/>
    <xf numFmtId="0" fontId="16" fillId="5" borderId="0" xfId="0" applyFont="1" applyFill="1"/>
    <xf numFmtId="0" fontId="17" fillId="6" borderId="0" xfId="0" applyFont="1" applyFill="1"/>
    <xf numFmtId="0" fontId="4" fillId="0" borderId="0" xfId="0" applyFont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14" fontId="1" fillId="4" borderId="0" xfId="0" applyNumberFormat="1" applyFont="1" applyFill="1" applyAlignment="1">
      <alignment horizontal="center" vertical="center"/>
    </xf>
    <xf numFmtId="43" fontId="1" fillId="4" borderId="1" xfId="1" applyFont="1" applyFill="1" applyBorder="1" applyAlignment="1">
      <alignment horizontal="left" vertical="center"/>
    </xf>
    <xf numFmtId="43" fontId="15" fillId="4" borderId="1" xfId="2" applyNumberFormat="1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16" fillId="4" borderId="1" xfId="0" applyFont="1" applyFill="1" applyBorder="1" applyAlignment="1">
      <alignment vertical="center"/>
    </xf>
    <xf numFmtId="0" fontId="16" fillId="4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14" fillId="0" borderId="1" xfId="2" applyBorder="1" applyAlignment="1">
      <alignment vertical="center" wrapText="1"/>
    </xf>
    <xf numFmtId="43" fontId="7" fillId="0" borderId="1" xfId="1" applyFont="1" applyBorder="1" applyAlignment="1">
      <alignment horizontal="right" vertical="center" wrapText="1"/>
    </xf>
    <xf numFmtId="0" fontId="20" fillId="4" borderId="1" xfId="0" applyFont="1" applyFill="1" applyBorder="1" applyAlignment="1">
      <alignment horizontal="center" vertical="center"/>
    </xf>
    <xf numFmtId="43" fontId="7" fillId="0" borderId="1" xfId="1" applyFont="1" applyBorder="1" applyAlignment="1">
      <alignment horizontal="left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justify" vertical="center" wrapText="1"/>
    </xf>
    <xf numFmtId="0" fontId="24" fillId="0" borderId="1" xfId="0" applyFont="1" applyBorder="1" applyAlignment="1">
      <alignment horizontal="justify" vertical="center" wrapText="1"/>
    </xf>
    <xf numFmtId="0" fontId="26" fillId="0" borderId="1" xfId="0" applyFont="1" applyBorder="1" applyAlignment="1">
      <alignment horizontal="justify" vertical="center" wrapText="1"/>
    </xf>
    <xf numFmtId="0" fontId="28" fillId="0" borderId="1" xfId="0" applyFont="1" applyBorder="1" applyAlignment="1">
      <alignment horizontal="justify" vertical="center" wrapText="1"/>
    </xf>
    <xf numFmtId="0" fontId="30" fillId="0" borderId="1" xfId="0" applyFont="1" applyBorder="1" applyAlignment="1">
      <alignment horizontal="justify" vertical="center" wrapText="1"/>
    </xf>
    <xf numFmtId="0" fontId="27" fillId="0" borderId="1" xfId="0" applyFont="1" applyBorder="1" applyAlignment="1">
      <alignment vertical="center" wrapText="1"/>
    </xf>
    <xf numFmtId="0" fontId="35" fillId="0" borderId="1" xfId="0" applyFont="1" applyBorder="1" applyAlignment="1">
      <alignment horizontal="justify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36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vertical="center"/>
    </xf>
    <xf numFmtId="0" fontId="13" fillId="0" borderId="1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43" fontId="13" fillId="0" borderId="1" xfId="0" applyNumberFormat="1" applyFont="1" applyBorder="1" applyAlignment="1">
      <alignment vertical="center"/>
    </xf>
    <xf numFmtId="0" fontId="1" fillId="7" borderId="2" xfId="0" applyFont="1" applyFill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right" vertical="center" wrapText="1"/>
    </xf>
    <xf numFmtId="0" fontId="11" fillId="0" borderId="1" xfId="0" applyFont="1" applyBorder="1" applyAlignment="1">
      <alignment horizontal="right" vertical="center" wrapText="1"/>
    </xf>
    <xf numFmtId="0" fontId="13" fillId="4" borderId="0" xfId="0" applyFont="1" applyFill="1" applyAlignment="1">
      <alignment horizontal="center" vertical="center" wrapText="1"/>
    </xf>
    <xf numFmtId="43" fontId="11" fillId="0" borderId="1" xfId="1" applyFont="1" applyFill="1" applyBorder="1" applyAlignment="1">
      <alignment horizontal="right" vertical="center" wrapText="1"/>
    </xf>
    <xf numFmtId="0" fontId="20" fillId="8" borderId="0" xfId="0" applyFont="1" applyFill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9" fillId="8" borderId="1" xfId="0" applyFont="1" applyFill="1" applyBorder="1" applyAlignment="1">
      <alignment horizontal="justify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left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0" fontId="16" fillId="8" borderId="1" xfId="0" applyFont="1" applyFill="1" applyBorder="1" applyAlignment="1">
      <alignment vertical="center"/>
    </xf>
    <xf numFmtId="43" fontId="16" fillId="8" borderId="1" xfId="0" applyNumberFormat="1" applyFont="1" applyFill="1" applyBorder="1" applyAlignment="1">
      <alignment vertical="center"/>
    </xf>
    <xf numFmtId="0" fontId="7" fillId="8" borderId="1" xfId="0" applyFont="1" applyFill="1" applyBorder="1" applyAlignment="1">
      <alignment vertical="center"/>
    </xf>
    <xf numFmtId="43" fontId="7" fillId="8" borderId="1" xfId="0" applyNumberFormat="1" applyFont="1" applyFill="1" applyBorder="1" applyAlignment="1">
      <alignment vertical="center"/>
    </xf>
    <xf numFmtId="0" fontId="13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justify" vertical="center" wrapText="1"/>
    </xf>
    <xf numFmtId="43" fontId="0" fillId="0" borderId="0" xfId="0" applyNumberFormat="1" applyAlignment="1">
      <alignment vertical="center"/>
    </xf>
    <xf numFmtId="0" fontId="1" fillId="8" borderId="1" xfId="0" applyFont="1" applyFill="1" applyBorder="1" applyAlignment="1">
      <alignment horizontal="center" vertical="center" wrapText="1"/>
    </xf>
    <xf numFmtId="43" fontId="9" fillId="4" borderId="1" xfId="0" applyNumberFormat="1" applyFont="1" applyFill="1" applyBorder="1" applyAlignment="1">
      <alignment horizontal="right" vertical="center" wrapText="1"/>
    </xf>
    <xf numFmtId="43" fontId="10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/>
    </xf>
    <xf numFmtId="0" fontId="21" fillId="3" borderId="1" xfId="0" applyFont="1" applyFill="1" applyBorder="1" applyAlignment="1">
      <alignment horizontal="center" vertical="center" wrapText="1"/>
    </xf>
    <xf numFmtId="43" fontId="11" fillId="0" borderId="1" xfId="0" applyNumberFormat="1" applyFont="1" applyBorder="1" applyAlignment="1">
      <alignment horizontal="right" vertical="center" wrapText="1"/>
    </xf>
    <xf numFmtId="0" fontId="32" fillId="0" borderId="3" xfId="0" applyFont="1" applyBorder="1" applyAlignment="1">
      <alignment horizontal="left" vertical="center" wrapText="1"/>
    </xf>
    <xf numFmtId="0" fontId="33" fillId="0" borderId="4" xfId="0" applyFont="1" applyBorder="1" applyAlignment="1">
      <alignment vertical="center" wrapText="1"/>
    </xf>
    <xf numFmtId="0" fontId="33" fillId="0" borderId="5" xfId="0" applyFont="1" applyBorder="1" applyAlignment="1">
      <alignment vertical="center" wrapText="1"/>
    </xf>
    <xf numFmtId="0" fontId="33" fillId="0" borderId="6" xfId="0" applyFont="1" applyBorder="1" applyAlignment="1">
      <alignment vertical="center" wrapText="1"/>
    </xf>
    <xf numFmtId="0" fontId="33" fillId="0" borderId="0" xfId="0" applyFont="1" applyAlignment="1">
      <alignment vertical="center" wrapText="1"/>
    </xf>
    <xf numFmtId="0" fontId="33" fillId="0" borderId="7" xfId="0" applyFont="1" applyBorder="1" applyAlignment="1">
      <alignment vertical="center" wrapText="1"/>
    </xf>
    <xf numFmtId="0" fontId="33" fillId="0" borderId="8" xfId="0" applyFont="1" applyBorder="1" applyAlignment="1">
      <alignment vertical="center" wrapText="1"/>
    </xf>
    <xf numFmtId="0" fontId="33" fillId="0" borderId="9" xfId="0" applyFont="1" applyBorder="1" applyAlignment="1">
      <alignment vertical="center" wrapText="1"/>
    </xf>
    <xf numFmtId="0" fontId="33" fillId="0" borderId="10" xfId="0" applyFont="1" applyBorder="1" applyAlignment="1">
      <alignment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34" fillId="3" borderId="11" xfId="0" applyFont="1" applyFill="1" applyBorder="1" applyAlignment="1">
      <alignment horizontal="center" vertical="center" wrapText="1"/>
    </xf>
    <xf numFmtId="0" fontId="34" fillId="3" borderId="12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3" fillId="0" borderId="1" xfId="0" applyFont="1" applyBorder="1" applyAlignment="1">
      <alignment vertical="center"/>
    </xf>
  </cellXfs>
  <cellStyles count="3">
    <cellStyle name="Hiperlink" xfId="2" builtinId="8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analistamodelosdenegocios.com.br/canvas-da-proposta-de-valor/" TargetMode="External"/><Relationship Id="rId1" Type="http://schemas.openxmlformats.org/officeDocument/2006/relationships/hyperlink" Target="mailto:eb@ebparcerias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A0EB4-94F5-460E-A1E9-96F86433132C}">
  <dimension ref="A1:E31"/>
  <sheetViews>
    <sheetView workbookViewId="0">
      <selection activeCell="A18" sqref="A18"/>
    </sheetView>
  </sheetViews>
  <sheetFormatPr defaultRowHeight="15" x14ac:dyDescent="0.3"/>
  <cols>
    <col min="1" max="1" width="28" style="36" customWidth="1"/>
    <col min="2" max="2" width="31.6640625" style="36" customWidth="1"/>
    <col min="3" max="3" width="29.5546875" style="36" customWidth="1"/>
    <col min="4" max="4" width="29" style="36" customWidth="1"/>
    <col min="5" max="5" width="21.21875" style="36" customWidth="1"/>
    <col min="6" max="16384" width="8.88671875" style="36"/>
  </cols>
  <sheetData>
    <row r="1" spans="1:5" ht="34.799999999999997" x14ac:dyDescent="0.3">
      <c r="A1" s="116" t="s">
        <v>201</v>
      </c>
      <c r="B1" s="116" t="s">
        <v>205</v>
      </c>
      <c r="C1" s="116" t="s">
        <v>226</v>
      </c>
      <c r="D1" s="116" t="s">
        <v>247</v>
      </c>
      <c r="E1" s="116" t="s">
        <v>248</v>
      </c>
    </row>
    <row r="2" spans="1:5" ht="15.6" x14ac:dyDescent="0.3">
      <c r="A2" s="32" t="s">
        <v>202</v>
      </c>
      <c r="B2" s="82" t="s">
        <v>206</v>
      </c>
      <c r="C2" s="32"/>
      <c r="D2" s="81"/>
      <c r="E2" s="81"/>
    </row>
    <row r="3" spans="1:5" ht="39.6" x14ac:dyDescent="0.3">
      <c r="A3" s="82" t="s">
        <v>203</v>
      </c>
      <c r="B3" s="82" t="s">
        <v>207</v>
      </c>
      <c r="C3" s="83" t="s">
        <v>227</v>
      </c>
      <c r="D3" s="82" t="s">
        <v>237</v>
      </c>
      <c r="E3" s="41" t="s">
        <v>243</v>
      </c>
    </row>
    <row r="4" spans="1:5" ht="39.6" x14ac:dyDescent="0.3">
      <c r="A4" s="82" t="s">
        <v>204</v>
      </c>
      <c r="B4" s="82" t="s">
        <v>208</v>
      </c>
      <c r="C4" s="83" t="s">
        <v>228</v>
      </c>
      <c r="D4" s="82" t="s">
        <v>238</v>
      </c>
      <c r="E4" s="38"/>
    </row>
    <row r="5" spans="1:5" x14ac:dyDescent="0.3">
      <c r="A5" s="38"/>
      <c r="B5" s="82" t="s">
        <v>209</v>
      </c>
      <c r="C5" s="32"/>
      <c r="D5" s="82" t="s">
        <v>239</v>
      </c>
      <c r="E5" s="38"/>
    </row>
    <row r="6" spans="1:5" ht="26.4" x14ac:dyDescent="0.3">
      <c r="A6" s="38"/>
      <c r="B6" s="82" t="s">
        <v>210</v>
      </c>
      <c r="C6" s="87" t="s">
        <v>229</v>
      </c>
      <c r="D6" s="38"/>
      <c r="E6" s="38"/>
    </row>
    <row r="7" spans="1:5" ht="26.4" x14ac:dyDescent="0.3">
      <c r="A7" s="38"/>
      <c r="B7" s="82" t="s">
        <v>211</v>
      </c>
      <c r="C7" s="84" t="s">
        <v>230</v>
      </c>
      <c r="D7" s="38"/>
      <c r="E7" s="38"/>
    </row>
    <row r="8" spans="1:5" x14ac:dyDescent="0.3">
      <c r="A8" s="38"/>
      <c r="B8" s="82" t="s">
        <v>212</v>
      </c>
      <c r="C8" s="83" t="s">
        <v>231</v>
      </c>
      <c r="D8" s="38"/>
      <c r="E8" s="38"/>
    </row>
    <row r="9" spans="1:5" x14ac:dyDescent="0.3">
      <c r="A9" s="38"/>
      <c r="B9" s="82" t="s">
        <v>213</v>
      </c>
      <c r="C9" s="83" t="s">
        <v>232</v>
      </c>
      <c r="D9" s="38"/>
      <c r="E9" s="38"/>
    </row>
    <row r="10" spans="1:5" x14ac:dyDescent="0.3">
      <c r="A10" s="38"/>
      <c r="B10" s="82" t="s">
        <v>214</v>
      </c>
      <c r="C10" s="83" t="s">
        <v>233</v>
      </c>
      <c r="D10" s="38"/>
      <c r="E10" s="38"/>
    </row>
    <row r="11" spans="1:5" x14ac:dyDescent="0.3">
      <c r="A11" s="38"/>
      <c r="B11" s="82" t="s">
        <v>215</v>
      </c>
      <c r="C11" s="83" t="s">
        <v>234</v>
      </c>
      <c r="D11" s="38"/>
      <c r="E11" s="38"/>
    </row>
    <row r="12" spans="1:5" x14ac:dyDescent="0.3">
      <c r="A12" s="38"/>
      <c r="B12" s="82" t="s">
        <v>216</v>
      </c>
      <c r="C12" s="83" t="s">
        <v>235</v>
      </c>
      <c r="D12" s="38"/>
      <c r="E12" s="38"/>
    </row>
    <row r="13" spans="1:5" ht="26.4" x14ac:dyDescent="0.3">
      <c r="A13" s="38"/>
      <c r="B13" s="82" t="s">
        <v>217</v>
      </c>
      <c r="C13" s="85" t="s">
        <v>236</v>
      </c>
      <c r="D13" s="38"/>
      <c r="E13" s="38"/>
    </row>
    <row r="14" spans="1:5" x14ac:dyDescent="0.3">
      <c r="A14" s="38"/>
      <c r="B14" s="82" t="s">
        <v>218</v>
      </c>
      <c r="C14" s="86"/>
      <c r="D14" s="38"/>
      <c r="E14" s="38"/>
    </row>
    <row r="15" spans="1:5" x14ac:dyDescent="0.3">
      <c r="A15" s="38"/>
      <c r="B15" s="82" t="s">
        <v>219</v>
      </c>
      <c r="C15" s="38"/>
      <c r="D15" s="38"/>
      <c r="E15" s="38"/>
    </row>
    <row r="16" spans="1:5" x14ac:dyDescent="0.3">
      <c r="A16" s="38"/>
      <c r="B16" s="82" t="s">
        <v>220</v>
      </c>
      <c r="C16" s="38"/>
      <c r="D16" s="38"/>
      <c r="E16" s="38"/>
    </row>
    <row r="17" spans="1:5" x14ac:dyDescent="0.3">
      <c r="A17" s="38"/>
      <c r="B17" s="82" t="s">
        <v>221</v>
      </c>
      <c r="C17" s="38"/>
      <c r="D17" s="38"/>
      <c r="E17" s="38"/>
    </row>
    <row r="18" spans="1:5" x14ac:dyDescent="0.3">
      <c r="A18" s="38"/>
      <c r="B18" s="82"/>
      <c r="C18" s="38"/>
      <c r="D18" s="38"/>
      <c r="E18" s="38"/>
    </row>
    <row r="19" spans="1:5" ht="17.399999999999999" x14ac:dyDescent="0.3">
      <c r="A19" s="38"/>
      <c r="B19" s="116" t="s">
        <v>222</v>
      </c>
      <c r="C19" s="38"/>
      <c r="D19" s="116" t="s">
        <v>240</v>
      </c>
      <c r="E19" s="38"/>
    </row>
    <row r="20" spans="1:5" x14ac:dyDescent="0.3">
      <c r="A20" s="38"/>
      <c r="B20" s="82" t="s">
        <v>223</v>
      </c>
      <c r="C20" s="38"/>
      <c r="D20" s="32" t="s">
        <v>241</v>
      </c>
      <c r="E20" s="38"/>
    </row>
    <row r="21" spans="1:5" ht="26.4" x14ac:dyDescent="0.3">
      <c r="A21" s="38"/>
      <c r="B21" s="82" t="s">
        <v>224</v>
      </c>
      <c r="C21" s="38"/>
      <c r="D21" s="32" t="s">
        <v>242</v>
      </c>
      <c r="E21" s="38"/>
    </row>
    <row r="22" spans="1:5" ht="26.4" x14ac:dyDescent="0.3">
      <c r="A22" s="38"/>
      <c r="B22" s="82" t="s">
        <v>225</v>
      </c>
      <c r="C22" s="38"/>
      <c r="D22" s="38"/>
      <c r="E22" s="38"/>
    </row>
    <row r="23" spans="1:5" x14ac:dyDescent="0.3">
      <c r="A23" s="38"/>
      <c r="B23" s="82"/>
      <c r="C23" s="38"/>
      <c r="D23" s="38"/>
      <c r="E23" s="38"/>
    </row>
    <row r="24" spans="1:5" ht="18" x14ac:dyDescent="0.3">
      <c r="A24" s="127" t="s">
        <v>244</v>
      </c>
      <c r="B24" s="128"/>
      <c r="C24" s="129"/>
      <c r="D24" s="127" t="s">
        <v>245</v>
      </c>
      <c r="E24" s="129"/>
    </row>
    <row r="25" spans="1:5" x14ac:dyDescent="0.3">
      <c r="A25" s="118" t="s">
        <v>249</v>
      </c>
      <c r="B25" s="119"/>
      <c r="C25" s="120"/>
      <c r="D25" s="118" t="s">
        <v>246</v>
      </c>
      <c r="E25" s="120"/>
    </row>
    <row r="26" spans="1:5" x14ac:dyDescent="0.3">
      <c r="A26" s="121"/>
      <c r="B26" s="122"/>
      <c r="C26" s="123"/>
      <c r="D26" s="121"/>
      <c r="E26" s="123"/>
    </row>
    <row r="27" spans="1:5" x14ac:dyDescent="0.3">
      <c r="A27" s="121"/>
      <c r="B27" s="122"/>
      <c r="C27" s="123"/>
      <c r="D27" s="121"/>
      <c r="E27" s="123"/>
    </row>
    <row r="28" spans="1:5" x14ac:dyDescent="0.3">
      <c r="A28" s="121"/>
      <c r="B28" s="122"/>
      <c r="C28" s="123"/>
      <c r="D28" s="121"/>
      <c r="E28" s="123"/>
    </row>
    <row r="29" spans="1:5" x14ac:dyDescent="0.3">
      <c r="A29" s="121"/>
      <c r="B29" s="122"/>
      <c r="C29" s="123"/>
      <c r="D29" s="121"/>
      <c r="E29" s="123"/>
    </row>
    <row r="30" spans="1:5" x14ac:dyDescent="0.3">
      <c r="A30" s="124"/>
      <c r="B30" s="125"/>
      <c r="C30" s="126"/>
      <c r="D30" s="124"/>
      <c r="E30" s="126"/>
    </row>
    <row r="31" spans="1:5" x14ac:dyDescent="0.3">
      <c r="A31" s="38"/>
      <c r="B31" s="38"/>
      <c r="C31" s="38"/>
      <c r="D31" s="38"/>
      <c r="E31" s="38"/>
    </row>
  </sheetData>
  <sheetProtection sheet="1" objects="1" scenarios="1"/>
  <mergeCells count="4">
    <mergeCell ref="A25:C30"/>
    <mergeCell ref="D25:E30"/>
    <mergeCell ref="A24:C24"/>
    <mergeCell ref="D24:E2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6B3B9-8692-4EF5-88F1-76A3A34A63E1}">
  <dimension ref="A1:B105"/>
  <sheetViews>
    <sheetView zoomScaleNormal="100" workbookViewId="0">
      <pane ySplit="1" topLeftCell="A2" activePane="bottomLeft" state="frozen"/>
      <selection activeCell="A18" sqref="A18"/>
      <selection pane="bottomLeft" activeCell="A18" sqref="A18"/>
    </sheetView>
  </sheetViews>
  <sheetFormatPr defaultRowHeight="15" x14ac:dyDescent="0.3"/>
  <cols>
    <col min="1" max="1" width="98.109375" style="38" bestFit="1" customWidth="1"/>
    <col min="2" max="2" width="75.77734375" style="38" customWidth="1"/>
    <col min="3" max="16384" width="8.88671875" style="37"/>
  </cols>
  <sheetData>
    <row r="1" spans="1:2" x14ac:dyDescent="0.3">
      <c r="A1" s="76" t="s">
        <v>199</v>
      </c>
      <c r="B1" s="76" t="s">
        <v>200</v>
      </c>
    </row>
    <row r="2" spans="1:2" x14ac:dyDescent="0.3">
      <c r="A2" s="38" t="s">
        <v>68</v>
      </c>
      <c r="B2" s="38" t="s">
        <v>69</v>
      </c>
    </row>
    <row r="3" spans="1:2" ht="30" x14ac:dyDescent="0.3">
      <c r="A3" s="38" t="s">
        <v>64</v>
      </c>
      <c r="B3" s="38" t="s">
        <v>70</v>
      </c>
    </row>
    <row r="4" spans="1:2" x14ac:dyDescent="0.3">
      <c r="A4" s="38" t="s">
        <v>65</v>
      </c>
      <c r="B4" s="38" t="s">
        <v>67</v>
      </c>
    </row>
    <row r="5" spans="1:2" x14ac:dyDescent="0.3">
      <c r="A5" s="38" t="s">
        <v>66</v>
      </c>
      <c r="B5" s="38" t="s">
        <v>191</v>
      </c>
    </row>
    <row r="6" spans="1:2" x14ac:dyDescent="0.3">
      <c r="A6" s="38" t="s">
        <v>174</v>
      </c>
    </row>
    <row r="7" spans="1:2" x14ac:dyDescent="0.3">
      <c r="A7" s="38" t="s">
        <v>175</v>
      </c>
    </row>
    <row r="8" spans="1:2" x14ac:dyDescent="0.3">
      <c r="A8" s="38" t="s">
        <v>43</v>
      </c>
    </row>
    <row r="9" spans="1:2" x14ac:dyDescent="0.3">
      <c r="A9" s="38" t="s">
        <v>44</v>
      </c>
    </row>
    <row r="10" spans="1:2" x14ac:dyDescent="0.3">
      <c r="A10" s="38" t="s">
        <v>137</v>
      </c>
    </row>
    <row r="11" spans="1:2" x14ac:dyDescent="0.3">
      <c r="A11" s="38" t="s">
        <v>176</v>
      </c>
    </row>
    <row r="12" spans="1:2" x14ac:dyDescent="0.3">
      <c r="A12" s="38" t="s">
        <v>138</v>
      </c>
    </row>
    <row r="13" spans="1:2" ht="30" x14ac:dyDescent="0.3">
      <c r="A13" s="38" t="s">
        <v>139</v>
      </c>
    </row>
    <row r="14" spans="1:2" ht="30" x14ac:dyDescent="0.3">
      <c r="A14" s="38" t="s">
        <v>140</v>
      </c>
    </row>
    <row r="15" spans="1:2" x14ac:dyDescent="0.3">
      <c r="A15" s="38" t="s">
        <v>71</v>
      </c>
    </row>
    <row r="16" spans="1:2" x14ac:dyDescent="0.3">
      <c r="A16" s="38" t="s">
        <v>144</v>
      </c>
    </row>
    <row r="17" spans="1:2" ht="90" x14ac:dyDescent="0.3">
      <c r="A17" s="38" t="s">
        <v>349</v>
      </c>
    </row>
    <row r="18" spans="1:2" x14ac:dyDescent="0.3">
      <c r="A18" s="38" t="s">
        <v>93</v>
      </c>
    </row>
    <row r="19" spans="1:2" x14ac:dyDescent="0.3">
      <c r="A19" s="38" t="s">
        <v>197</v>
      </c>
    </row>
    <row r="20" spans="1:2" x14ac:dyDescent="0.3">
      <c r="A20" s="38" t="s">
        <v>117</v>
      </c>
    </row>
    <row r="21" spans="1:2" x14ac:dyDescent="0.3">
      <c r="A21" s="38" t="s">
        <v>145</v>
      </c>
    </row>
    <row r="22" spans="1:2" ht="45" x14ac:dyDescent="0.3">
      <c r="A22" s="38" t="s">
        <v>94</v>
      </c>
    </row>
    <row r="23" spans="1:2" x14ac:dyDescent="0.3">
      <c r="A23" s="38" t="s">
        <v>109</v>
      </c>
    </row>
    <row r="24" spans="1:2" x14ac:dyDescent="0.3">
      <c r="A24" s="38" t="s">
        <v>112</v>
      </c>
    </row>
    <row r="25" spans="1:2" x14ac:dyDescent="0.3">
      <c r="A25" s="38" t="s">
        <v>113</v>
      </c>
    </row>
    <row r="26" spans="1:2" x14ac:dyDescent="0.3">
      <c r="A26" s="38" t="s">
        <v>114</v>
      </c>
    </row>
    <row r="27" spans="1:2" x14ac:dyDescent="0.3">
      <c r="A27" s="38" t="s">
        <v>115</v>
      </c>
    </row>
    <row r="28" spans="1:2" x14ac:dyDescent="0.3">
      <c r="A28" s="38" t="s">
        <v>116</v>
      </c>
    </row>
    <row r="29" spans="1:2" x14ac:dyDescent="0.3">
      <c r="A29" s="38" t="s">
        <v>155</v>
      </c>
      <c r="B29" s="72" t="s">
        <v>156</v>
      </c>
    </row>
    <row r="30" spans="1:2" ht="45" x14ac:dyDescent="0.3">
      <c r="A30" s="38" t="s">
        <v>157</v>
      </c>
      <c r="B30" s="38" t="s">
        <v>158</v>
      </c>
    </row>
    <row r="31" spans="1:2" ht="30" x14ac:dyDescent="0.3">
      <c r="A31" s="38" t="s">
        <v>159</v>
      </c>
    </row>
    <row r="32" spans="1:2" x14ac:dyDescent="0.3">
      <c r="A32" s="38" t="s">
        <v>150</v>
      </c>
    </row>
    <row r="33" spans="1:1" x14ac:dyDescent="0.3">
      <c r="A33" s="38" t="s">
        <v>131</v>
      </c>
    </row>
    <row r="34" spans="1:1" x14ac:dyDescent="0.3">
      <c r="A34" s="38" t="s">
        <v>132</v>
      </c>
    </row>
    <row r="35" spans="1:1" x14ac:dyDescent="0.3">
      <c r="A35" s="38" t="s">
        <v>133</v>
      </c>
    </row>
    <row r="36" spans="1:1" x14ac:dyDescent="0.3">
      <c r="A36" s="38" t="s">
        <v>134</v>
      </c>
    </row>
    <row r="37" spans="1:1" x14ac:dyDescent="0.3">
      <c r="A37" s="38" t="s">
        <v>164</v>
      </c>
    </row>
    <row r="38" spans="1:1" x14ac:dyDescent="0.3">
      <c r="A38" s="38" t="s">
        <v>165</v>
      </c>
    </row>
    <row r="39" spans="1:1" x14ac:dyDescent="0.3">
      <c r="A39" s="38" t="s">
        <v>166</v>
      </c>
    </row>
    <row r="40" spans="1:1" x14ac:dyDescent="0.3">
      <c r="A40" s="38" t="s">
        <v>167</v>
      </c>
    </row>
    <row r="41" spans="1:1" x14ac:dyDescent="0.3">
      <c r="A41" s="38" t="s">
        <v>168</v>
      </c>
    </row>
    <row r="42" spans="1:1" x14ac:dyDescent="0.3">
      <c r="A42" s="38" t="s">
        <v>169</v>
      </c>
    </row>
    <row r="43" spans="1:1" x14ac:dyDescent="0.3">
      <c r="A43" s="38" t="s">
        <v>170</v>
      </c>
    </row>
    <row r="44" spans="1:1" x14ac:dyDescent="0.3">
      <c r="A44" s="38" t="s">
        <v>172</v>
      </c>
    </row>
    <row r="45" spans="1:1" x14ac:dyDescent="0.3">
      <c r="A45" s="38" t="s">
        <v>173</v>
      </c>
    </row>
    <row r="46" spans="1:1" x14ac:dyDescent="0.3">
      <c r="A46" s="38" t="s">
        <v>189</v>
      </c>
    </row>
    <row r="47" spans="1:1" x14ac:dyDescent="0.3">
      <c r="A47" s="38" t="s">
        <v>185</v>
      </c>
    </row>
    <row r="48" spans="1:1" ht="30" x14ac:dyDescent="0.3">
      <c r="A48" s="38" t="s">
        <v>186</v>
      </c>
    </row>
    <row r="49" spans="1:1" x14ac:dyDescent="0.3">
      <c r="A49" s="38" t="s">
        <v>194</v>
      </c>
    </row>
    <row r="50" spans="1:1" x14ac:dyDescent="0.3">
      <c r="A50" s="38" t="s">
        <v>190</v>
      </c>
    </row>
    <row r="51" spans="1:1" x14ac:dyDescent="0.3">
      <c r="A51" s="38" t="s">
        <v>193</v>
      </c>
    </row>
    <row r="52" spans="1:1" x14ac:dyDescent="0.3">
      <c r="A52" s="38" t="s">
        <v>196</v>
      </c>
    </row>
    <row r="53" spans="1:1" x14ac:dyDescent="0.3">
      <c r="A53" s="38" t="s">
        <v>250</v>
      </c>
    </row>
    <row r="54" spans="1:1" x14ac:dyDescent="0.3">
      <c r="A54" s="38" t="s">
        <v>251</v>
      </c>
    </row>
    <row r="55" spans="1:1" x14ac:dyDescent="0.3">
      <c r="A55" s="38" t="s">
        <v>252</v>
      </c>
    </row>
    <row r="56" spans="1:1" x14ac:dyDescent="0.3">
      <c r="A56" s="38" t="s">
        <v>253</v>
      </c>
    </row>
    <row r="57" spans="1:1" x14ac:dyDescent="0.3">
      <c r="A57" s="38" t="s">
        <v>254</v>
      </c>
    </row>
    <row r="58" spans="1:1" x14ac:dyDescent="0.3">
      <c r="A58" s="38" t="s">
        <v>255</v>
      </c>
    </row>
    <row r="59" spans="1:1" x14ac:dyDescent="0.3">
      <c r="A59" s="38" t="s">
        <v>256</v>
      </c>
    </row>
    <row r="60" spans="1:1" x14ac:dyDescent="0.3">
      <c r="A60" s="38" t="s">
        <v>257</v>
      </c>
    </row>
    <row r="61" spans="1:1" x14ac:dyDescent="0.3">
      <c r="A61" s="38" t="s">
        <v>258</v>
      </c>
    </row>
    <row r="62" spans="1:1" ht="30" x14ac:dyDescent="0.3">
      <c r="A62" s="38" t="s">
        <v>259</v>
      </c>
    </row>
    <row r="63" spans="1:1" x14ac:dyDescent="0.3">
      <c r="A63" s="38" t="s">
        <v>260</v>
      </c>
    </row>
    <row r="64" spans="1:1" x14ac:dyDescent="0.3">
      <c r="A64" s="38" t="s">
        <v>261</v>
      </c>
    </row>
    <row r="65" spans="1:2" x14ac:dyDescent="0.3">
      <c r="A65" s="38" t="s">
        <v>262</v>
      </c>
    </row>
    <row r="66" spans="1:2" x14ac:dyDescent="0.3">
      <c r="A66" s="38" t="s">
        <v>263</v>
      </c>
    </row>
    <row r="67" spans="1:2" x14ac:dyDescent="0.3">
      <c r="A67" s="38" t="s">
        <v>335</v>
      </c>
    </row>
    <row r="68" spans="1:2" ht="45" x14ac:dyDescent="0.3">
      <c r="A68" s="38" t="s">
        <v>264</v>
      </c>
    </row>
    <row r="69" spans="1:2" ht="75" x14ac:dyDescent="0.3">
      <c r="A69" s="38" t="s">
        <v>141</v>
      </c>
    </row>
    <row r="70" spans="1:2" ht="60" x14ac:dyDescent="0.3">
      <c r="A70" s="38" t="s">
        <v>162</v>
      </c>
    </row>
    <row r="71" spans="1:2" ht="45" x14ac:dyDescent="0.3">
      <c r="A71" s="38" t="s">
        <v>142</v>
      </c>
    </row>
    <row r="72" spans="1:2" x14ac:dyDescent="0.3">
      <c r="A72" s="38" t="s">
        <v>95</v>
      </c>
    </row>
    <row r="73" spans="1:2" x14ac:dyDescent="0.3">
      <c r="A73" s="38" t="s">
        <v>161</v>
      </c>
    </row>
    <row r="74" spans="1:2" ht="30" x14ac:dyDescent="0.3">
      <c r="A74" s="38" t="s">
        <v>96</v>
      </c>
    </row>
    <row r="75" spans="1:2" x14ac:dyDescent="0.3">
      <c r="A75" s="38" t="s">
        <v>97</v>
      </c>
    </row>
    <row r="76" spans="1:2" ht="30" x14ac:dyDescent="0.3">
      <c r="A76" s="38" t="s">
        <v>143</v>
      </c>
    </row>
    <row r="77" spans="1:2" ht="30" x14ac:dyDescent="0.3">
      <c r="A77" s="38" t="s">
        <v>343</v>
      </c>
    </row>
    <row r="78" spans="1:2" ht="45" x14ac:dyDescent="0.3">
      <c r="A78" s="38" t="s">
        <v>344</v>
      </c>
    </row>
    <row r="79" spans="1:2" x14ac:dyDescent="0.3">
      <c r="A79" s="38" t="s">
        <v>348</v>
      </c>
      <c r="B79" s="72" t="s">
        <v>163</v>
      </c>
    </row>
    <row r="80" spans="1:2" ht="90" x14ac:dyDescent="0.3">
      <c r="A80" s="38" t="s">
        <v>347</v>
      </c>
    </row>
    <row r="81" spans="1:1" ht="30" x14ac:dyDescent="0.3">
      <c r="A81" s="38" t="s">
        <v>346</v>
      </c>
    </row>
    <row r="82" spans="1:1" x14ac:dyDescent="0.3">
      <c r="A82" s="38" t="s">
        <v>124</v>
      </c>
    </row>
    <row r="83" spans="1:1" ht="45" x14ac:dyDescent="0.3">
      <c r="A83" s="38" t="s">
        <v>107</v>
      </c>
    </row>
    <row r="84" spans="1:1" x14ac:dyDescent="0.3">
      <c r="A84" s="38" t="s">
        <v>108</v>
      </c>
    </row>
    <row r="85" spans="1:1" x14ac:dyDescent="0.3">
      <c r="A85" s="38" t="s">
        <v>123</v>
      </c>
    </row>
    <row r="86" spans="1:1" x14ac:dyDescent="0.3">
      <c r="A86" s="38" t="s">
        <v>118</v>
      </c>
    </row>
    <row r="87" spans="1:1" x14ac:dyDescent="0.3">
      <c r="A87" s="38" t="s">
        <v>119</v>
      </c>
    </row>
    <row r="88" spans="1:1" ht="19.95" customHeight="1" x14ac:dyDescent="0.3">
      <c r="A88" s="38" t="s">
        <v>120</v>
      </c>
    </row>
    <row r="89" spans="1:1" x14ac:dyDescent="0.3">
      <c r="A89" s="38" t="s">
        <v>121</v>
      </c>
    </row>
    <row r="90" spans="1:1" x14ac:dyDescent="0.3">
      <c r="A90" s="38" t="s">
        <v>122</v>
      </c>
    </row>
    <row r="91" spans="1:1" x14ac:dyDescent="0.3">
      <c r="A91" s="38" t="s">
        <v>146</v>
      </c>
    </row>
    <row r="92" spans="1:1" ht="30" x14ac:dyDescent="0.3">
      <c r="A92" s="38" t="s">
        <v>126</v>
      </c>
    </row>
    <row r="93" spans="1:1" x14ac:dyDescent="0.3">
      <c r="A93" s="38" t="s">
        <v>125</v>
      </c>
    </row>
    <row r="94" spans="1:1" ht="30" x14ac:dyDescent="0.3">
      <c r="A94" s="38" t="s">
        <v>128</v>
      </c>
    </row>
    <row r="95" spans="1:1" x14ac:dyDescent="0.3">
      <c r="A95" s="38" t="s">
        <v>127</v>
      </c>
    </row>
    <row r="96" spans="1:1" x14ac:dyDescent="0.3">
      <c r="A96" s="38" t="s">
        <v>129</v>
      </c>
    </row>
    <row r="97" spans="1:1" x14ac:dyDescent="0.3">
      <c r="A97" s="38" t="s">
        <v>130</v>
      </c>
    </row>
    <row r="98" spans="1:1" x14ac:dyDescent="0.3">
      <c r="A98" s="38" t="s">
        <v>136</v>
      </c>
    </row>
    <row r="99" spans="1:1" x14ac:dyDescent="0.3">
      <c r="A99" s="38" t="s">
        <v>147</v>
      </c>
    </row>
    <row r="100" spans="1:1" x14ac:dyDescent="0.3">
      <c r="A100" s="38" t="s">
        <v>148</v>
      </c>
    </row>
    <row r="101" spans="1:1" x14ac:dyDescent="0.3">
      <c r="A101" s="38" t="s">
        <v>149</v>
      </c>
    </row>
    <row r="102" spans="1:1" ht="30" x14ac:dyDescent="0.3">
      <c r="A102" s="38" t="s">
        <v>154</v>
      </c>
    </row>
    <row r="103" spans="1:1" x14ac:dyDescent="0.3">
      <c r="A103" s="38" t="s">
        <v>171</v>
      </c>
    </row>
    <row r="104" spans="1:1" x14ac:dyDescent="0.3">
      <c r="A104" s="38" t="s">
        <v>345</v>
      </c>
    </row>
    <row r="105" spans="1:1" x14ac:dyDescent="0.3">
      <c r="A105" s="38" t="s">
        <v>160</v>
      </c>
    </row>
  </sheetData>
  <sheetProtection algorithmName="SHA-512" hashValue="+t6GoUADDPHKvAR/k7j6YLD8M5MbBMn8rTKAr71UN2WedsG+elH2VO0FSvkXTWdo3uuFmltMWxwaIuD+uuvIPg==" saltValue="k+0aXnxsHDymfv6cN/YtFg==" spinCount="100000" sheet="1" objects="1" scenarios="1"/>
  <hyperlinks>
    <hyperlink ref="B29" r:id="rId1" xr:uid="{69EA5ACB-DC60-42AF-9DC4-E7D70B72F430}"/>
    <hyperlink ref="B79" r:id="rId2" xr:uid="{A5DD454A-E5D5-4620-B772-4B7B7DBD9951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DBB98-DDAE-49D0-8DAF-17A9D432F96C}">
  <dimension ref="A1:H119"/>
  <sheetViews>
    <sheetView workbookViewId="0">
      <pane ySplit="1" topLeftCell="A2" activePane="bottomLeft" state="frozen"/>
      <selection activeCell="A18" sqref="A18"/>
      <selection pane="bottomLeft" activeCell="A18" sqref="A18"/>
    </sheetView>
  </sheetViews>
  <sheetFormatPr defaultRowHeight="13.2" x14ac:dyDescent="0.3"/>
  <cols>
    <col min="1" max="1" width="10.109375" style="25" bestFit="1" customWidth="1"/>
    <col min="2" max="2" width="68.33203125" style="4" customWidth="1"/>
    <col min="3" max="3" width="16.109375" style="9" bestFit="1" customWidth="1"/>
    <col min="4" max="4" width="16.44140625" style="9" bestFit="1" customWidth="1"/>
    <col min="5" max="5" width="16.109375" style="60" bestFit="1" customWidth="1"/>
    <col min="6" max="6" width="10.77734375" style="11" bestFit="1" customWidth="1"/>
    <col min="7" max="7" width="49.5546875" style="6" customWidth="1"/>
    <col min="8" max="8" width="26.21875" style="4" customWidth="1"/>
    <col min="9" max="16384" width="8.88671875" style="4"/>
  </cols>
  <sheetData>
    <row r="1" spans="1:8" s="58" customFormat="1" x14ac:dyDescent="0.3">
      <c r="A1" s="79" t="s">
        <v>49</v>
      </c>
      <c r="B1" s="80" t="s">
        <v>198</v>
      </c>
      <c r="C1" s="80" t="s">
        <v>45</v>
      </c>
      <c r="D1" s="80" t="s">
        <v>46</v>
      </c>
      <c r="E1" s="59" t="s">
        <v>50</v>
      </c>
      <c r="F1" s="77" t="s">
        <v>48</v>
      </c>
      <c r="G1" s="80" t="s">
        <v>47</v>
      </c>
    </row>
    <row r="2" spans="1:8" x14ac:dyDescent="0.3">
      <c r="A2" s="40">
        <v>45224</v>
      </c>
      <c r="B2" s="41" t="s">
        <v>405</v>
      </c>
      <c r="C2" s="42" t="s">
        <v>56</v>
      </c>
      <c r="D2" s="42" t="s">
        <v>51</v>
      </c>
      <c r="E2" s="59">
        <v>45247</v>
      </c>
      <c r="F2" s="54" t="s">
        <v>54</v>
      </c>
      <c r="G2" s="42" t="s">
        <v>401</v>
      </c>
      <c r="H2" s="44"/>
    </row>
    <row r="3" spans="1:8" x14ac:dyDescent="0.3">
      <c r="A3" s="40">
        <v>45247</v>
      </c>
      <c r="B3" s="41" t="s">
        <v>406</v>
      </c>
      <c r="C3" s="42" t="s">
        <v>56</v>
      </c>
      <c r="D3" s="42"/>
      <c r="E3" s="59">
        <v>45252</v>
      </c>
      <c r="F3" s="54" t="s">
        <v>54</v>
      </c>
      <c r="G3" s="42"/>
      <c r="H3" s="44"/>
    </row>
    <row r="4" spans="1:8" x14ac:dyDescent="0.3">
      <c r="A4" s="40">
        <v>45252</v>
      </c>
      <c r="B4" s="2" t="s">
        <v>55</v>
      </c>
      <c r="C4" s="42" t="s">
        <v>56</v>
      </c>
      <c r="D4" s="42"/>
      <c r="E4" s="59">
        <v>45319</v>
      </c>
      <c r="F4" s="54" t="s">
        <v>53</v>
      </c>
      <c r="G4" s="42"/>
      <c r="H4" s="44"/>
    </row>
    <row r="5" spans="1:8" x14ac:dyDescent="0.3">
      <c r="A5" s="40">
        <v>45252</v>
      </c>
      <c r="B5" s="2" t="s">
        <v>55</v>
      </c>
      <c r="C5" s="42" t="s">
        <v>111</v>
      </c>
      <c r="D5" s="42" t="s">
        <v>51</v>
      </c>
      <c r="E5" s="59">
        <v>45319</v>
      </c>
      <c r="F5" s="54" t="s">
        <v>53</v>
      </c>
      <c r="G5" s="42"/>
      <c r="H5" s="44"/>
    </row>
    <row r="6" spans="1:8" ht="52.8" x14ac:dyDescent="0.3">
      <c r="A6" s="40">
        <v>45252</v>
      </c>
      <c r="B6" s="2" t="s">
        <v>57</v>
      </c>
      <c r="C6" s="42" t="s">
        <v>51</v>
      </c>
      <c r="D6" s="42"/>
      <c r="E6" s="59">
        <v>45266</v>
      </c>
      <c r="F6" s="54" t="s">
        <v>53</v>
      </c>
      <c r="G6" s="49" t="s">
        <v>151</v>
      </c>
      <c r="H6" s="44"/>
    </row>
    <row r="7" spans="1:8" x14ac:dyDescent="0.3">
      <c r="A7" s="40">
        <v>45255</v>
      </c>
      <c r="B7" s="2" t="s">
        <v>110</v>
      </c>
      <c r="C7" s="42" t="s">
        <v>56</v>
      </c>
      <c r="D7" s="42"/>
      <c r="E7" s="59">
        <v>45319</v>
      </c>
      <c r="F7" s="54" t="s">
        <v>52</v>
      </c>
      <c r="G7" s="42"/>
      <c r="H7" s="44"/>
    </row>
    <row r="8" spans="1:8" x14ac:dyDescent="0.3">
      <c r="A8" s="40">
        <v>45259</v>
      </c>
      <c r="B8" s="2" t="s">
        <v>407</v>
      </c>
      <c r="C8" s="42" t="s">
        <v>56</v>
      </c>
      <c r="D8" s="42"/>
      <c r="E8" s="59">
        <v>45342</v>
      </c>
      <c r="F8" s="54" t="s">
        <v>52</v>
      </c>
      <c r="G8" s="42"/>
      <c r="H8" s="44"/>
    </row>
    <row r="9" spans="1:8" ht="26.4" x14ac:dyDescent="0.3">
      <c r="A9" s="40">
        <v>45252</v>
      </c>
      <c r="B9" s="2" t="s">
        <v>402</v>
      </c>
      <c r="C9" s="42" t="s">
        <v>51</v>
      </c>
      <c r="D9" s="42" t="s">
        <v>404</v>
      </c>
      <c r="E9" s="59">
        <v>45275</v>
      </c>
      <c r="F9" s="54" t="s">
        <v>54</v>
      </c>
      <c r="G9" s="42" t="s">
        <v>403</v>
      </c>
      <c r="H9" s="44"/>
    </row>
    <row r="10" spans="1:8" ht="26.4" x14ac:dyDescent="0.3">
      <c r="A10" s="40">
        <v>45252</v>
      </c>
      <c r="B10" s="2" t="s">
        <v>408</v>
      </c>
      <c r="C10" s="42" t="s">
        <v>56</v>
      </c>
      <c r="D10" s="42" t="s">
        <v>111</v>
      </c>
      <c r="E10" s="59">
        <v>45319</v>
      </c>
      <c r="F10" s="54" t="s">
        <v>53</v>
      </c>
      <c r="G10" s="42"/>
      <c r="H10" s="44"/>
    </row>
    <row r="11" spans="1:8" x14ac:dyDescent="0.3">
      <c r="A11" s="40"/>
      <c r="B11" s="2"/>
      <c r="C11" s="42"/>
      <c r="D11" s="42"/>
      <c r="E11" s="59"/>
      <c r="F11" s="54"/>
      <c r="G11" s="42"/>
      <c r="H11" s="44"/>
    </row>
    <row r="12" spans="1:8" x14ac:dyDescent="0.3">
      <c r="A12" s="40"/>
      <c r="B12" s="2"/>
      <c r="C12" s="42"/>
      <c r="D12" s="42"/>
      <c r="E12" s="59"/>
      <c r="F12" s="54"/>
      <c r="G12" s="42"/>
      <c r="H12" s="44"/>
    </row>
    <row r="13" spans="1:8" x14ac:dyDescent="0.3">
      <c r="A13" s="40"/>
      <c r="B13" s="2"/>
      <c r="C13" s="42"/>
      <c r="D13" s="42"/>
      <c r="E13" s="59"/>
      <c r="F13" s="54"/>
      <c r="G13" s="42"/>
      <c r="H13" s="44"/>
    </row>
    <row r="14" spans="1:8" x14ac:dyDescent="0.3">
      <c r="A14" s="40"/>
      <c r="B14" s="2"/>
      <c r="C14" s="42"/>
      <c r="D14" s="42"/>
      <c r="E14" s="59"/>
      <c r="F14" s="54"/>
      <c r="G14" s="42"/>
      <c r="H14" s="44"/>
    </row>
    <row r="15" spans="1:8" x14ac:dyDescent="0.3">
      <c r="A15" s="40"/>
      <c r="B15" s="2"/>
      <c r="C15" s="42"/>
      <c r="D15" s="42"/>
      <c r="E15" s="59"/>
      <c r="F15" s="54"/>
      <c r="G15" s="42"/>
      <c r="H15" s="44"/>
    </row>
    <row r="16" spans="1:8" x14ac:dyDescent="0.3">
      <c r="A16" s="40"/>
      <c r="B16" s="45"/>
      <c r="C16" s="42"/>
      <c r="D16" s="42"/>
      <c r="E16" s="59"/>
      <c r="F16" s="54"/>
      <c r="G16" s="42"/>
      <c r="H16" s="44"/>
    </row>
    <row r="17" spans="1:8" x14ac:dyDescent="0.3">
      <c r="A17" s="40"/>
      <c r="B17" s="7"/>
      <c r="C17" s="42"/>
      <c r="D17" s="42"/>
      <c r="E17" s="59"/>
      <c r="F17" s="54"/>
      <c r="G17" s="42"/>
      <c r="H17" s="44"/>
    </row>
    <row r="18" spans="1:8" x14ac:dyDescent="0.3">
      <c r="A18" s="40"/>
      <c r="B18" s="7"/>
      <c r="C18" s="42"/>
      <c r="D18" s="42"/>
      <c r="E18" s="59"/>
      <c r="F18" s="54"/>
      <c r="G18" s="42"/>
    </row>
    <row r="19" spans="1:8" x14ac:dyDescent="0.3">
      <c r="A19" s="40"/>
      <c r="B19" s="46"/>
      <c r="C19" s="42"/>
      <c r="D19" s="42"/>
      <c r="E19" s="59"/>
      <c r="F19" s="54"/>
      <c r="G19" s="42"/>
    </row>
    <row r="20" spans="1:8" x14ac:dyDescent="0.3">
      <c r="A20" s="40"/>
      <c r="B20" s="46"/>
      <c r="C20" s="42"/>
      <c r="D20" s="42"/>
      <c r="E20" s="59"/>
      <c r="F20" s="54"/>
      <c r="G20" s="42"/>
    </row>
    <row r="21" spans="1:8" x14ac:dyDescent="0.3">
      <c r="A21" s="40"/>
      <c r="B21" s="46"/>
      <c r="C21" s="42"/>
      <c r="D21" s="42"/>
      <c r="E21" s="59"/>
      <c r="F21" s="54"/>
      <c r="G21" s="42"/>
    </row>
    <row r="22" spans="1:8" x14ac:dyDescent="0.3">
      <c r="A22" s="40"/>
      <c r="B22" s="46"/>
      <c r="C22" s="42"/>
      <c r="D22" s="42"/>
      <c r="E22" s="59"/>
      <c r="F22" s="54"/>
      <c r="G22" s="42"/>
    </row>
    <row r="23" spans="1:8" x14ac:dyDescent="0.3">
      <c r="A23" s="40"/>
      <c r="B23" s="45"/>
      <c r="C23" s="42"/>
      <c r="D23" s="42"/>
      <c r="E23" s="59"/>
      <c r="F23" s="54"/>
      <c r="G23" s="42"/>
    </row>
    <row r="24" spans="1:8" x14ac:dyDescent="0.3">
      <c r="A24" s="40"/>
      <c r="B24" s="45"/>
      <c r="C24" s="42"/>
      <c r="D24" s="42"/>
      <c r="E24" s="59"/>
      <c r="F24" s="54"/>
      <c r="G24" s="42"/>
    </row>
    <row r="25" spans="1:8" x14ac:dyDescent="0.3">
      <c r="A25" s="40"/>
      <c r="B25" s="43"/>
      <c r="C25" s="42"/>
      <c r="D25" s="42"/>
      <c r="E25" s="59"/>
      <c r="F25" s="54"/>
      <c r="G25" s="42"/>
    </row>
    <row r="26" spans="1:8" x14ac:dyDescent="0.3">
      <c r="A26" s="40"/>
      <c r="B26" s="47"/>
      <c r="C26" s="42"/>
      <c r="D26" s="42"/>
      <c r="E26" s="59"/>
      <c r="F26" s="54"/>
      <c r="G26" s="42"/>
    </row>
    <row r="27" spans="1:8" x14ac:dyDescent="0.3">
      <c r="A27" s="40"/>
      <c r="B27" s="2"/>
      <c r="C27" s="42"/>
      <c r="D27" s="42"/>
      <c r="E27" s="59"/>
      <c r="F27" s="54"/>
      <c r="G27" s="42"/>
    </row>
    <row r="28" spans="1:8" x14ac:dyDescent="0.3">
      <c r="A28" s="40"/>
      <c r="B28" s="1"/>
      <c r="C28" s="42"/>
      <c r="D28" s="42"/>
      <c r="E28" s="59"/>
      <c r="F28" s="54"/>
      <c r="G28" s="42"/>
    </row>
    <row r="29" spans="1:8" x14ac:dyDescent="0.3">
      <c r="A29" s="40"/>
      <c r="B29" s="1"/>
      <c r="C29" s="42"/>
      <c r="D29" s="42"/>
      <c r="E29" s="59"/>
      <c r="F29" s="54"/>
      <c r="G29" s="42"/>
    </row>
    <row r="30" spans="1:8" x14ac:dyDescent="0.3">
      <c r="A30" s="40"/>
      <c r="B30" s="1"/>
      <c r="C30" s="42"/>
      <c r="D30" s="42"/>
      <c r="E30" s="59"/>
      <c r="F30" s="54"/>
      <c r="G30" s="42"/>
    </row>
    <row r="31" spans="1:8" x14ac:dyDescent="0.3">
      <c r="A31" s="40"/>
      <c r="B31" s="1"/>
      <c r="C31" s="42"/>
      <c r="D31" s="42"/>
      <c r="E31" s="59"/>
      <c r="F31" s="54"/>
      <c r="G31" s="42"/>
    </row>
    <row r="32" spans="1:8" x14ac:dyDescent="0.3">
      <c r="A32" s="40"/>
      <c r="B32" s="1"/>
      <c r="C32" s="42"/>
      <c r="D32" s="42"/>
      <c r="E32" s="59"/>
      <c r="F32" s="54"/>
      <c r="G32" s="42"/>
    </row>
    <row r="33" spans="1:8" x14ac:dyDescent="0.3">
      <c r="A33" s="40"/>
      <c r="B33" s="1"/>
      <c r="C33" s="42"/>
      <c r="D33" s="42"/>
      <c r="E33" s="59"/>
      <c r="F33" s="54"/>
      <c r="G33" s="42"/>
      <c r="H33" s="48"/>
    </row>
    <row r="34" spans="1:8" x14ac:dyDescent="0.3">
      <c r="A34" s="40"/>
      <c r="B34" s="1"/>
      <c r="C34" s="42"/>
      <c r="D34" s="42"/>
      <c r="E34" s="59"/>
      <c r="F34" s="54"/>
      <c r="G34" s="42"/>
    </row>
    <row r="35" spans="1:8" x14ac:dyDescent="0.3">
      <c r="A35" s="40"/>
      <c r="B35" s="1"/>
      <c r="C35" s="42"/>
      <c r="D35" s="42"/>
      <c r="E35" s="59"/>
      <c r="F35" s="54"/>
      <c r="G35" s="42"/>
    </row>
    <row r="36" spans="1:8" x14ac:dyDescent="0.3">
      <c r="A36" s="40"/>
      <c r="B36" s="42"/>
      <c r="C36" s="42"/>
      <c r="D36" s="42"/>
      <c r="E36" s="59"/>
      <c r="F36" s="54"/>
      <c r="G36" s="42"/>
    </row>
    <row r="37" spans="1:8" x14ac:dyDescent="0.3">
      <c r="A37" s="40"/>
      <c r="B37" s="43"/>
      <c r="C37" s="42"/>
      <c r="D37" s="42"/>
      <c r="E37" s="59"/>
      <c r="F37" s="54"/>
      <c r="G37" s="42"/>
      <c r="H37" s="44"/>
    </row>
    <row r="38" spans="1:8" x14ac:dyDescent="0.3">
      <c r="A38" s="40"/>
      <c r="B38" s="43"/>
      <c r="C38" s="42"/>
      <c r="D38" s="42"/>
      <c r="E38" s="59"/>
      <c r="F38" s="54"/>
      <c r="G38" s="42"/>
    </row>
    <row r="39" spans="1:8" x14ac:dyDescent="0.3">
      <c r="A39" s="40"/>
      <c r="B39" s="50"/>
      <c r="C39" s="42"/>
      <c r="D39" s="42"/>
      <c r="E39" s="59"/>
      <c r="F39" s="54"/>
      <c r="G39" s="42"/>
    </row>
    <row r="40" spans="1:8" x14ac:dyDescent="0.3">
      <c r="A40" s="40"/>
      <c r="B40" s="1"/>
      <c r="C40" s="42"/>
      <c r="D40" s="42"/>
      <c r="E40" s="59"/>
      <c r="F40" s="54"/>
      <c r="G40" s="42"/>
    </row>
    <row r="41" spans="1:8" x14ac:dyDescent="0.3">
      <c r="A41" s="40"/>
      <c r="B41" s="1"/>
      <c r="C41" s="42"/>
      <c r="D41" s="42"/>
      <c r="E41" s="59"/>
      <c r="F41" s="54"/>
      <c r="G41" s="42"/>
    </row>
    <row r="42" spans="1:8" x14ac:dyDescent="0.3">
      <c r="A42" s="40"/>
      <c r="B42" s="1"/>
      <c r="C42" s="42"/>
      <c r="D42" s="42"/>
      <c r="E42" s="59"/>
      <c r="F42" s="54"/>
      <c r="G42" s="42"/>
    </row>
    <row r="43" spans="1:8" x14ac:dyDescent="0.3">
      <c r="A43" s="40"/>
      <c r="B43" s="1"/>
      <c r="C43" s="42"/>
      <c r="D43" s="42"/>
      <c r="E43" s="59"/>
      <c r="F43" s="54"/>
      <c r="G43" s="42"/>
    </row>
    <row r="44" spans="1:8" x14ac:dyDescent="0.3">
      <c r="A44" s="40"/>
      <c r="B44" s="1"/>
      <c r="C44" s="42"/>
      <c r="D44" s="42"/>
      <c r="E44" s="59"/>
      <c r="F44" s="54"/>
      <c r="G44" s="42"/>
    </row>
    <row r="45" spans="1:8" x14ac:dyDescent="0.3">
      <c r="A45" s="40"/>
      <c r="B45" s="1"/>
      <c r="C45" s="42"/>
      <c r="D45" s="42"/>
      <c r="E45" s="59"/>
      <c r="F45" s="54"/>
      <c r="G45" s="42"/>
    </row>
    <row r="46" spans="1:8" x14ac:dyDescent="0.3">
      <c r="A46" s="40"/>
      <c r="B46" s="1"/>
      <c r="C46" s="42"/>
      <c r="D46" s="42"/>
      <c r="E46" s="59"/>
      <c r="F46" s="54"/>
      <c r="G46" s="42"/>
    </row>
    <row r="47" spans="1:8" x14ac:dyDescent="0.3">
      <c r="A47" s="40"/>
      <c r="B47" s="1"/>
      <c r="C47" s="42"/>
      <c r="D47" s="42"/>
      <c r="E47" s="59"/>
      <c r="F47" s="54"/>
      <c r="G47" s="42"/>
    </row>
    <row r="48" spans="1:8" x14ac:dyDescent="0.3">
      <c r="A48" s="40"/>
      <c r="B48" s="1"/>
      <c r="C48" s="42"/>
      <c r="D48" s="42"/>
      <c r="E48" s="59"/>
      <c r="F48" s="54"/>
      <c r="G48" s="42"/>
    </row>
    <row r="49" spans="1:7" x14ac:dyDescent="0.3">
      <c r="A49" s="40"/>
      <c r="B49" s="1"/>
      <c r="C49" s="42"/>
      <c r="D49" s="42"/>
      <c r="E49" s="59"/>
      <c r="F49" s="54"/>
      <c r="G49" s="42"/>
    </row>
    <row r="50" spans="1:7" x14ac:dyDescent="0.3">
      <c r="A50" s="40"/>
      <c r="B50" s="1"/>
      <c r="C50" s="42"/>
      <c r="D50" s="42"/>
      <c r="E50" s="59"/>
      <c r="F50" s="54"/>
      <c r="G50" s="42"/>
    </row>
    <row r="51" spans="1:7" x14ac:dyDescent="0.3">
      <c r="A51" s="40"/>
      <c r="B51" s="1"/>
      <c r="C51" s="42"/>
      <c r="D51" s="42"/>
      <c r="E51" s="59"/>
      <c r="F51" s="54"/>
      <c r="G51" s="42"/>
    </row>
    <row r="52" spans="1:7" x14ac:dyDescent="0.3">
      <c r="A52" s="40"/>
      <c r="B52" s="1"/>
      <c r="C52" s="42"/>
      <c r="D52" s="42"/>
      <c r="E52" s="59"/>
      <c r="F52" s="54"/>
      <c r="G52" s="42"/>
    </row>
    <row r="53" spans="1:7" x14ac:dyDescent="0.3">
      <c r="A53" s="40"/>
      <c r="B53" s="1"/>
      <c r="C53" s="42"/>
      <c r="D53" s="42"/>
      <c r="E53" s="59"/>
      <c r="F53" s="54"/>
      <c r="G53" s="42"/>
    </row>
    <row r="54" spans="1:7" x14ac:dyDescent="0.3">
      <c r="A54" s="40"/>
      <c r="B54" s="1"/>
      <c r="C54" s="42"/>
      <c r="D54" s="42"/>
      <c r="E54" s="59"/>
      <c r="F54" s="54"/>
      <c r="G54" s="42"/>
    </row>
    <row r="55" spans="1:7" x14ac:dyDescent="0.3">
      <c r="A55" s="40"/>
      <c r="B55" s="1"/>
      <c r="C55" s="42"/>
      <c r="D55" s="42"/>
      <c r="E55" s="59"/>
      <c r="F55" s="54"/>
      <c r="G55" s="42"/>
    </row>
    <row r="56" spans="1:7" x14ac:dyDescent="0.3">
      <c r="A56" s="40"/>
      <c r="B56" s="1"/>
      <c r="C56" s="42"/>
      <c r="D56" s="42"/>
      <c r="E56" s="59"/>
      <c r="F56" s="54"/>
      <c r="G56" s="42"/>
    </row>
    <row r="57" spans="1:7" x14ac:dyDescent="0.3">
      <c r="A57" s="40"/>
      <c r="B57" s="1"/>
      <c r="C57" s="42"/>
      <c r="D57" s="42"/>
      <c r="E57" s="59"/>
      <c r="F57" s="54"/>
      <c r="G57" s="42"/>
    </row>
    <row r="58" spans="1:7" x14ac:dyDescent="0.3">
      <c r="A58" s="40"/>
      <c r="B58" s="1"/>
      <c r="C58" s="42"/>
      <c r="D58" s="42"/>
      <c r="E58" s="59"/>
      <c r="F58" s="54"/>
      <c r="G58" s="42"/>
    </row>
    <row r="59" spans="1:7" x14ac:dyDescent="0.3">
      <c r="A59" s="40"/>
      <c r="B59" s="43"/>
      <c r="C59" s="42"/>
      <c r="D59" s="42"/>
      <c r="E59" s="59"/>
      <c r="F59" s="54"/>
      <c r="G59" s="42"/>
    </row>
    <row r="60" spans="1:7" x14ac:dyDescent="0.3">
      <c r="A60" s="40"/>
      <c r="B60" s="1"/>
      <c r="C60" s="42"/>
      <c r="D60" s="42"/>
      <c r="E60" s="59"/>
      <c r="F60" s="54"/>
      <c r="G60" s="42"/>
    </row>
    <row r="61" spans="1:7" x14ac:dyDescent="0.3">
      <c r="A61" s="40"/>
      <c r="B61" s="1"/>
      <c r="C61" s="42"/>
      <c r="D61" s="42"/>
      <c r="E61" s="59"/>
      <c r="F61" s="54"/>
      <c r="G61" s="42"/>
    </row>
    <row r="62" spans="1:7" x14ac:dyDescent="0.3">
      <c r="A62" s="40"/>
      <c r="B62" s="1"/>
      <c r="C62" s="42"/>
      <c r="D62" s="42"/>
      <c r="E62" s="59"/>
      <c r="F62" s="54"/>
      <c r="G62" s="42"/>
    </row>
    <row r="63" spans="1:7" x14ac:dyDescent="0.3">
      <c r="A63" s="40"/>
      <c r="B63" s="1"/>
      <c r="C63" s="42"/>
      <c r="D63" s="42"/>
      <c r="E63" s="59"/>
      <c r="F63" s="54"/>
      <c r="G63" s="42"/>
    </row>
    <row r="64" spans="1:7" x14ac:dyDescent="0.3">
      <c r="A64" s="40"/>
      <c r="B64" s="1"/>
      <c r="C64" s="42"/>
      <c r="D64" s="42"/>
      <c r="E64" s="59"/>
      <c r="F64" s="54"/>
      <c r="G64" s="42"/>
    </row>
    <row r="65" spans="1:7" x14ac:dyDescent="0.3">
      <c r="A65" s="40"/>
      <c r="B65" s="1"/>
      <c r="C65" s="42"/>
      <c r="D65" s="42"/>
      <c r="E65" s="59"/>
      <c r="F65" s="54"/>
      <c r="G65" s="42"/>
    </row>
    <row r="66" spans="1:7" x14ac:dyDescent="0.3">
      <c r="A66" s="40"/>
      <c r="B66" s="1"/>
      <c r="C66" s="42"/>
      <c r="D66" s="42"/>
      <c r="E66" s="59"/>
      <c r="F66" s="54"/>
      <c r="G66" s="42"/>
    </row>
    <row r="67" spans="1:7" x14ac:dyDescent="0.3">
      <c r="A67" s="40"/>
      <c r="B67" s="50"/>
      <c r="C67" s="42"/>
      <c r="D67" s="42"/>
      <c r="E67" s="59"/>
      <c r="F67" s="54"/>
      <c r="G67" s="42"/>
    </row>
    <row r="68" spans="1:7" x14ac:dyDescent="0.3">
      <c r="A68" s="40"/>
      <c r="B68" s="1"/>
      <c r="C68" s="42"/>
      <c r="D68" s="42"/>
      <c r="E68" s="59"/>
      <c r="F68" s="54"/>
      <c r="G68" s="42"/>
    </row>
    <row r="69" spans="1:7" x14ac:dyDescent="0.3">
      <c r="A69" s="40"/>
      <c r="B69" s="1"/>
      <c r="C69" s="42"/>
      <c r="D69" s="42"/>
      <c r="E69" s="59"/>
      <c r="F69" s="54"/>
      <c r="G69" s="42"/>
    </row>
    <row r="70" spans="1:7" x14ac:dyDescent="0.3">
      <c r="A70" s="40"/>
      <c r="B70" s="1"/>
      <c r="C70" s="42"/>
      <c r="D70" s="42"/>
      <c r="E70" s="59"/>
      <c r="F70" s="54"/>
      <c r="G70" s="42"/>
    </row>
    <row r="71" spans="1:7" x14ac:dyDescent="0.3">
      <c r="A71" s="40"/>
      <c r="B71" s="1"/>
      <c r="C71" s="42"/>
      <c r="D71" s="42"/>
      <c r="E71" s="59"/>
      <c r="F71" s="54"/>
      <c r="G71" s="42"/>
    </row>
    <row r="72" spans="1:7" x14ac:dyDescent="0.3">
      <c r="A72" s="40"/>
      <c r="B72" s="1"/>
      <c r="C72" s="42"/>
      <c r="D72" s="42"/>
      <c r="E72" s="59"/>
      <c r="F72" s="54"/>
      <c r="G72" s="42"/>
    </row>
    <row r="73" spans="1:7" x14ac:dyDescent="0.3">
      <c r="A73" s="40"/>
      <c r="B73" s="1"/>
      <c r="C73" s="42"/>
      <c r="D73" s="42"/>
      <c r="E73" s="59"/>
      <c r="F73" s="54"/>
      <c r="G73" s="42"/>
    </row>
    <row r="74" spans="1:7" x14ac:dyDescent="0.3">
      <c r="A74" s="40"/>
      <c r="B74" s="1"/>
      <c r="C74" s="42"/>
      <c r="D74" s="42"/>
      <c r="E74" s="59"/>
      <c r="F74" s="54"/>
      <c r="G74" s="42"/>
    </row>
    <row r="75" spans="1:7" x14ac:dyDescent="0.3">
      <c r="A75" s="40"/>
      <c r="B75" s="1"/>
      <c r="C75" s="42"/>
      <c r="D75" s="42"/>
      <c r="E75" s="59"/>
      <c r="F75" s="54"/>
      <c r="G75" s="42"/>
    </row>
    <row r="76" spans="1:7" x14ac:dyDescent="0.3">
      <c r="A76" s="40"/>
      <c r="B76" s="1"/>
      <c r="C76" s="42"/>
      <c r="D76" s="42"/>
      <c r="E76" s="59"/>
      <c r="F76" s="54"/>
      <c r="G76" s="42"/>
    </row>
    <row r="77" spans="1:7" x14ac:dyDescent="0.3">
      <c r="A77" s="40"/>
      <c r="B77" s="1"/>
      <c r="C77" s="42"/>
      <c r="D77" s="42"/>
      <c r="E77" s="59"/>
      <c r="F77" s="54"/>
      <c r="G77" s="42"/>
    </row>
    <row r="78" spans="1:7" x14ac:dyDescent="0.3">
      <c r="A78" s="40"/>
      <c r="B78" s="1"/>
      <c r="C78" s="42"/>
      <c r="D78" s="42"/>
      <c r="E78" s="59"/>
      <c r="F78" s="54"/>
      <c r="G78" s="42"/>
    </row>
    <row r="79" spans="1:7" x14ac:dyDescent="0.3">
      <c r="A79" s="40"/>
      <c r="B79" s="1"/>
      <c r="C79" s="42"/>
      <c r="D79" s="42"/>
      <c r="E79" s="59"/>
      <c r="F79" s="54"/>
      <c r="G79" s="42"/>
    </row>
    <row r="80" spans="1:7" x14ac:dyDescent="0.3">
      <c r="A80" s="40"/>
      <c r="B80" s="50"/>
      <c r="C80" s="42"/>
      <c r="D80" s="42"/>
      <c r="E80" s="59"/>
      <c r="F80" s="54"/>
      <c r="G80" s="42"/>
    </row>
    <row r="81" spans="1:7" x14ac:dyDescent="0.3">
      <c r="A81" s="40"/>
      <c r="B81" s="1"/>
      <c r="C81" s="42"/>
      <c r="D81" s="42"/>
      <c r="E81" s="59"/>
      <c r="F81" s="54"/>
      <c r="G81" s="42"/>
    </row>
    <row r="82" spans="1:7" x14ac:dyDescent="0.3">
      <c r="A82" s="40"/>
      <c r="B82" s="1"/>
      <c r="C82" s="42"/>
      <c r="D82" s="42"/>
      <c r="E82" s="59"/>
      <c r="F82" s="54"/>
      <c r="G82" s="42"/>
    </row>
    <row r="83" spans="1:7" x14ac:dyDescent="0.3">
      <c r="A83" s="40"/>
      <c r="B83" s="1"/>
      <c r="C83" s="42"/>
      <c r="D83" s="42"/>
      <c r="E83" s="59"/>
      <c r="F83" s="54"/>
      <c r="G83" s="42"/>
    </row>
    <row r="84" spans="1:7" x14ac:dyDescent="0.3">
      <c r="A84" s="40"/>
      <c r="B84" s="1"/>
      <c r="C84" s="42"/>
      <c r="D84" s="42"/>
      <c r="E84" s="59"/>
      <c r="F84" s="54"/>
      <c r="G84" s="42"/>
    </row>
    <row r="85" spans="1:7" x14ac:dyDescent="0.3">
      <c r="A85" s="40"/>
      <c r="B85" s="1"/>
      <c r="C85" s="42"/>
      <c r="D85" s="42"/>
      <c r="E85" s="59"/>
      <c r="F85" s="54"/>
      <c r="G85" s="42"/>
    </row>
    <row r="86" spans="1:7" x14ac:dyDescent="0.3">
      <c r="A86" s="40"/>
      <c r="B86" s="1"/>
      <c r="C86" s="42"/>
      <c r="D86" s="42"/>
      <c r="E86" s="59"/>
      <c r="F86" s="54"/>
      <c r="G86" s="42"/>
    </row>
    <row r="87" spans="1:7" x14ac:dyDescent="0.3">
      <c r="A87" s="40"/>
      <c r="B87" s="1"/>
      <c r="C87" s="42"/>
      <c r="D87" s="42"/>
      <c r="E87" s="59"/>
      <c r="F87" s="54"/>
      <c r="G87" s="42"/>
    </row>
    <row r="88" spans="1:7" x14ac:dyDescent="0.3">
      <c r="A88" s="40"/>
      <c r="B88" s="1"/>
      <c r="C88" s="42"/>
      <c r="D88" s="42"/>
      <c r="E88" s="59"/>
      <c r="F88" s="54"/>
      <c r="G88" s="42"/>
    </row>
    <row r="89" spans="1:7" x14ac:dyDescent="0.3">
      <c r="A89" s="40"/>
      <c r="B89" s="1"/>
      <c r="C89" s="42"/>
      <c r="D89" s="42"/>
      <c r="E89" s="59"/>
      <c r="F89" s="54"/>
      <c r="G89" s="42"/>
    </row>
    <row r="90" spans="1:7" x14ac:dyDescent="0.3">
      <c r="A90" s="40"/>
      <c r="B90" s="1"/>
      <c r="C90" s="42"/>
      <c r="D90" s="42"/>
      <c r="E90" s="59"/>
      <c r="F90" s="54"/>
      <c r="G90" s="42"/>
    </row>
    <row r="91" spans="1:7" x14ac:dyDescent="0.3">
      <c r="A91" s="40"/>
      <c r="B91" s="1"/>
      <c r="C91" s="42"/>
      <c r="D91" s="42"/>
      <c r="E91" s="59"/>
      <c r="F91" s="54"/>
      <c r="G91" s="42"/>
    </row>
    <row r="92" spans="1:7" x14ac:dyDescent="0.3">
      <c r="A92" s="40"/>
      <c r="B92" s="1"/>
      <c r="C92" s="42"/>
      <c r="D92" s="42"/>
      <c r="E92" s="59"/>
      <c r="F92" s="54"/>
      <c r="G92" s="42"/>
    </row>
    <row r="93" spans="1:7" x14ac:dyDescent="0.3">
      <c r="A93" s="40"/>
      <c r="B93" s="43"/>
      <c r="C93" s="42"/>
      <c r="D93" s="42"/>
      <c r="E93" s="59"/>
      <c r="F93" s="54"/>
      <c r="G93" s="42"/>
    </row>
    <row r="94" spans="1:7" x14ac:dyDescent="0.3">
      <c r="A94" s="40"/>
      <c r="B94" s="1"/>
      <c r="C94" s="42"/>
      <c r="D94" s="42"/>
      <c r="E94" s="59"/>
      <c r="F94" s="54"/>
      <c r="G94" s="42"/>
    </row>
    <row r="95" spans="1:7" x14ac:dyDescent="0.3">
      <c r="A95" s="40"/>
      <c r="B95" s="1"/>
      <c r="C95" s="42"/>
      <c r="D95" s="42"/>
      <c r="E95" s="59"/>
      <c r="F95" s="54"/>
      <c r="G95" s="42"/>
    </row>
    <row r="96" spans="1:7" x14ac:dyDescent="0.3">
      <c r="A96" s="40"/>
      <c r="B96" s="43"/>
      <c r="C96" s="42"/>
      <c r="D96" s="42"/>
      <c r="E96" s="59"/>
      <c r="F96" s="54"/>
      <c r="G96" s="42"/>
    </row>
    <row r="97" spans="6:6" x14ac:dyDescent="0.3">
      <c r="F97" s="54"/>
    </row>
    <row r="98" spans="6:6" x14ac:dyDescent="0.3">
      <c r="F98" s="54"/>
    </row>
    <row r="99" spans="6:6" x14ac:dyDescent="0.3">
      <c r="F99" s="54"/>
    </row>
    <row r="100" spans="6:6" x14ac:dyDescent="0.3">
      <c r="F100" s="54"/>
    </row>
    <row r="101" spans="6:6" x14ac:dyDescent="0.3">
      <c r="F101" s="54"/>
    </row>
    <row r="102" spans="6:6" x14ac:dyDescent="0.3">
      <c r="F102" s="54"/>
    </row>
    <row r="103" spans="6:6" x14ac:dyDescent="0.3">
      <c r="F103" s="54"/>
    </row>
    <row r="104" spans="6:6" x14ac:dyDescent="0.3">
      <c r="F104" s="54"/>
    </row>
    <row r="105" spans="6:6" x14ac:dyDescent="0.3">
      <c r="F105" s="54"/>
    </row>
    <row r="106" spans="6:6" x14ac:dyDescent="0.3">
      <c r="F106" s="54"/>
    </row>
    <row r="107" spans="6:6" x14ac:dyDescent="0.3">
      <c r="F107" s="54"/>
    </row>
    <row r="108" spans="6:6" x14ac:dyDescent="0.3">
      <c r="F108" s="54"/>
    </row>
    <row r="109" spans="6:6" x14ac:dyDescent="0.3">
      <c r="F109" s="54"/>
    </row>
    <row r="110" spans="6:6" x14ac:dyDescent="0.3">
      <c r="F110" s="54"/>
    </row>
    <row r="111" spans="6:6" x14ac:dyDescent="0.3">
      <c r="F111" s="54"/>
    </row>
    <row r="112" spans="6:6" x14ac:dyDescent="0.3">
      <c r="F112" s="54"/>
    </row>
    <row r="113" spans="6:6" x14ac:dyDescent="0.3">
      <c r="F113" s="54"/>
    </row>
    <row r="114" spans="6:6" x14ac:dyDescent="0.3">
      <c r="F114" s="54"/>
    </row>
    <row r="115" spans="6:6" x14ac:dyDescent="0.3">
      <c r="F115" s="54"/>
    </row>
    <row r="116" spans="6:6" x14ac:dyDescent="0.3">
      <c r="F116" s="54"/>
    </row>
    <row r="117" spans="6:6" x14ac:dyDescent="0.3">
      <c r="F117" s="54"/>
    </row>
    <row r="118" spans="6:6" x14ac:dyDescent="0.3">
      <c r="F118" s="54"/>
    </row>
    <row r="119" spans="6:6" x14ac:dyDescent="0.3">
      <c r="F119" s="54"/>
    </row>
  </sheetData>
  <sheetProtection algorithmName="SHA-512" hashValue="wRxGMOEyb5b5XUNoKtjalUT7gdYNIubbXwAH6jrAokKPeHnz8EQRgIGAtoCKkKM50ArGel5NxKX5lJqYhcjGUQ==" saltValue="305v2yRmkIwakqgTUCxhLw==" spinCount="100000" sheet="1" objects="1" scenarios="1"/>
  <autoFilter ref="A1:J96" xr:uid="{82BDBB98-DDAE-49D0-8DAF-17A9D432F96C}"/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336DFB6-3D76-49C5-8857-D008F9C3E302}">
          <x14:formula1>
            <xm:f>lista!$A$1:$A$3</xm:f>
          </x14:formula1>
          <xm:sqref>F2:F119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26076-087F-44A0-A718-C424FE1B59F1}">
  <dimension ref="A1:BH374"/>
  <sheetViews>
    <sheetView showGridLines="0" tabSelected="1" zoomScaleNormal="100" workbookViewId="0">
      <selection activeCell="A28" sqref="A28"/>
    </sheetView>
  </sheetViews>
  <sheetFormatPr defaultColWidth="8.88671875" defaultRowHeight="17.399999999999999" x14ac:dyDescent="0.3"/>
  <cols>
    <col min="1" max="1" width="105.6640625" style="22" customWidth="1"/>
    <col min="2" max="2" width="36.44140625" style="29" customWidth="1"/>
    <col min="3" max="3" width="22.21875" style="4" customWidth="1"/>
    <col min="4" max="4" width="23" style="4" customWidth="1"/>
    <col min="5" max="5" width="44.109375" style="4" customWidth="1"/>
    <col min="6" max="6" width="18.109375" style="4" customWidth="1"/>
    <col min="7" max="7" width="11.44140625" style="5" bestFit="1" customWidth="1"/>
    <col min="8" max="8" width="12.33203125" style="6" bestFit="1" customWidth="1"/>
    <col min="9" max="9" width="27.5546875" style="4" customWidth="1"/>
    <col min="10" max="16384" width="8.88671875" style="4"/>
  </cols>
  <sheetData>
    <row r="1" spans="1:60" ht="13.2" x14ac:dyDescent="0.3">
      <c r="A1" s="31" t="s">
        <v>27</v>
      </c>
      <c r="B1" s="61"/>
      <c r="C1" s="7"/>
      <c r="D1" s="7"/>
      <c r="E1" s="8"/>
      <c r="F1" s="7"/>
      <c r="H1" s="9"/>
    </row>
    <row r="2" spans="1:60" ht="13.2" x14ac:dyDescent="0.3">
      <c r="A2" s="31" t="s">
        <v>336</v>
      </c>
      <c r="B2" s="61"/>
      <c r="C2" s="7"/>
      <c r="D2" s="7"/>
      <c r="E2" s="8"/>
      <c r="F2" s="7"/>
      <c r="H2" s="9"/>
    </row>
    <row r="3" spans="1:60" ht="13.8" x14ac:dyDescent="0.3">
      <c r="A3" s="31" t="s">
        <v>20</v>
      </c>
      <c r="B3" s="62"/>
      <c r="C3" s="10"/>
      <c r="D3" s="10"/>
      <c r="E3" s="10"/>
      <c r="F3" s="10"/>
      <c r="H3" s="9"/>
    </row>
    <row r="4" spans="1:60" x14ac:dyDescent="0.3">
      <c r="A4" s="31" t="s">
        <v>278</v>
      </c>
      <c r="B4" s="51"/>
      <c r="D4" s="11"/>
      <c r="E4" s="11"/>
      <c r="H4" s="9"/>
    </row>
    <row r="5" spans="1:60" x14ac:dyDescent="0.3">
      <c r="A5" s="31" t="s">
        <v>279</v>
      </c>
      <c r="B5" s="51"/>
      <c r="E5" s="11"/>
      <c r="H5" s="9"/>
    </row>
    <row r="6" spans="1:60" x14ac:dyDescent="0.3">
      <c r="A6" s="31" t="s">
        <v>177</v>
      </c>
      <c r="B6" s="51"/>
      <c r="C6" s="7"/>
      <c r="D6" s="7"/>
      <c r="E6" s="7"/>
      <c r="F6" s="7"/>
      <c r="H6" s="9"/>
    </row>
    <row r="7" spans="1:60" x14ac:dyDescent="0.3">
      <c r="A7" s="32" t="s">
        <v>187</v>
      </c>
      <c r="B7" s="51"/>
      <c r="C7" s="12"/>
      <c r="D7" s="12"/>
      <c r="E7" s="12"/>
      <c r="F7" s="12"/>
      <c r="H7" s="9"/>
    </row>
    <row r="8" spans="1:60" ht="26.4" x14ac:dyDescent="0.3">
      <c r="A8" s="31" t="s">
        <v>280</v>
      </c>
      <c r="B8" s="51"/>
      <c r="C8" s="11"/>
      <c r="D8" s="11"/>
      <c r="E8" s="13"/>
      <c r="H8" s="9"/>
    </row>
    <row r="9" spans="1:60" x14ac:dyDescent="0.3">
      <c r="A9" s="31" t="s">
        <v>281</v>
      </c>
      <c r="B9" s="51"/>
      <c r="C9" s="14"/>
      <c r="D9" s="14"/>
      <c r="E9" s="14"/>
      <c r="F9" s="14"/>
      <c r="H9" s="9"/>
    </row>
    <row r="10" spans="1:60" x14ac:dyDescent="0.3">
      <c r="A10" s="31" t="s">
        <v>21</v>
      </c>
      <c r="B10" s="51"/>
      <c r="H10" s="9"/>
    </row>
    <row r="11" spans="1:60" x14ac:dyDescent="0.3">
      <c r="A11" s="31" t="s">
        <v>22</v>
      </c>
      <c r="B11" s="51"/>
      <c r="C11" s="11"/>
      <c r="E11" s="11"/>
      <c r="F11" s="11"/>
      <c r="H11" s="9"/>
    </row>
    <row r="12" spans="1:60" x14ac:dyDescent="0.3">
      <c r="A12" s="31" t="s">
        <v>23</v>
      </c>
      <c r="B12" s="52"/>
      <c r="C12" s="15"/>
      <c r="D12" s="16"/>
      <c r="E12" s="16"/>
      <c r="F12" s="16"/>
      <c r="G12" s="17"/>
      <c r="H12" s="16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</row>
    <row r="13" spans="1:60" x14ac:dyDescent="0.3">
      <c r="A13" s="31" t="s">
        <v>356</v>
      </c>
      <c r="B13" s="52"/>
      <c r="C13" s="19"/>
      <c r="D13" s="19"/>
      <c r="E13" s="19"/>
      <c r="F13" s="19"/>
      <c r="G13" s="17"/>
      <c r="H13" s="16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</row>
    <row r="14" spans="1:60" x14ac:dyDescent="0.3">
      <c r="A14" s="31" t="s">
        <v>24</v>
      </c>
      <c r="B14" s="52"/>
      <c r="C14" s="20"/>
      <c r="D14" s="20"/>
      <c r="E14" s="21"/>
      <c r="F14" s="20"/>
      <c r="G14" s="17"/>
      <c r="H14" s="16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</row>
    <row r="15" spans="1:60" x14ac:dyDescent="0.3">
      <c r="A15" s="31" t="s">
        <v>188</v>
      </c>
      <c r="B15" s="53"/>
      <c r="C15" s="19"/>
      <c r="D15" s="19"/>
      <c r="E15" s="19"/>
      <c r="F15" s="19"/>
      <c r="G15" s="17"/>
      <c r="H15" s="1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</row>
    <row r="16" spans="1:60" ht="39.6" x14ac:dyDescent="0.3">
      <c r="A16" s="31" t="s">
        <v>282</v>
      </c>
      <c r="B16" s="51"/>
      <c r="C16" s="7"/>
      <c r="D16" s="7"/>
      <c r="E16" s="7"/>
      <c r="F16" s="7"/>
      <c r="H16" s="9"/>
    </row>
    <row r="17" spans="1:8" ht="26.4" x14ac:dyDescent="0.3">
      <c r="A17" s="31" t="s">
        <v>283</v>
      </c>
      <c r="B17" s="51"/>
      <c r="C17" s="7"/>
      <c r="D17" s="7"/>
      <c r="E17" s="7"/>
      <c r="F17" s="7"/>
      <c r="H17" s="9"/>
    </row>
    <row r="18" spans="1:8" x14ac:dyDescent="0.3">
      <c r="A18" s="32" t="s">
        <v>25</v>
      </c>
      <c r="B18" s="51"/>
      <c r="E18" s="11"/>
      <c r="H18" s="9"/>
    </row>
    <row r="19" spans="1:8" hidden="1" x14ac:dyDescent="0.3">
      <c r="A19" s="110" t="s">
        <v>355</v>
      </c>
      <c r="C19" s="7"/>
      <c r="D19" s="7"/>
      <c r="E19" s="7"/>
      <c r="F19" s="7"/>
      <c r="H19" s="9"/>
    </row>
    <row r="20" spans="1:8" hidden="1" x14ac:dyDescent="0.3">
      <c r="A20" s="110" t="s">
        <v>398</v>
      </c>
      <c r="D20" s="11"/>
      <c r="H20" s="9"/>
    </row>
    <row r="21" spans="1:8" hidden="1" x14ac:dyDescent="0.3">
      <c r="A21" s="110" t="s">
        <v>399</v>
      </c>
      <c r="H21" s="9"/>
    </row>
    <row r="22" spans="1:8" x14ac:dyDescent="0.3">
      <c r="C22" s="23"/>
      <c r="D22" s="23"/>
      <c r="E22" s="23"/>
      <c r="F22" s="23"/>
      <c r="H22" s="9"/>
    </row>
    <row r="23" spans="1:8" x14ac:dyDescent="0.3">
      <c r="C23" s="23"/>
      <c r="D23" s="23"/>
      <c r="E23" s="23"/>
      <c r="F23" s="23"/>
      <c r="H23" s="9"/>
    </row>
    <row r="24" spans="1:8" x14ac:dyDescent="0.3">
      <c r="C24" s="7"/>
      <c r="D24" s="7"/>
      <c r="E24" s="7"/>
      <c r="F24" s="7"/>
      <c r="H24" s="9"/>
    </row>
    <row r="25" spans="1:8" x14ac:dyDescent="0.3">
      <c r="C25" s="23"/>
      <c r="D25" s="23"/>
      <c r="E25" s="23"/>
      <c r="F25" s="23"/>
      <c r="H25" s="9"/>
    </row>
    <row r="26" spans="1:8" x14ac:dyDescent="0.3">
      <c r="C26" s="23"/>
      <c r="D26" s="23"/>
      <c r="E26" s="23"/>
      <c r="F26" s="23"/>
      <c r="H26" s="9"/>
    </row>
    <row r="27" spans="1:8" x14ac:dyDescent="0.3">
      <c r="C27" s="23"/>
      <c r="D27" s="23"/>
      <c r="E27" s="23"/>
      <c r="F27" s="23"/>
      <c r="H27" s="9"/>
    </row>
    <row r="28" spans="1:8" x14ac:dyDescent="0.3">
      <c r="C28" s="23"/>
      <c r="D28" s="23"/>
      <c r="E28" s="24"/>
      <c r="F28" s="23"/>
      <c r="H28" s="9"/>
    </row>
    <row r="29" spans="1:8" x14ac:dyDescent="0.3">
      <c r="C29" s="23"/>
      <c r="D29" s="23"/>
      <c r="E29" s="24"/>
      <c r="F29" s="23"/>
      <c r="H29" s="9"/>
    </row>
    <row r="30" spans="1:8" x14ac:dyDescent="0.3">
      <c r="C30" s="14"/>
      <c r="D30" s="14"/>
      <c r="E30" s="14"/>
      <c r="F30" s="14"/>
      <c r="H30" s="9"/>
    </row>
    <row r="31" spans="1:8" x14ac:dyDescent="0.3">
      <c r="B31" s="30"/>
      <c r="E31" s="11"/>
      <c r="H31" s="9"/>
    </row>
    <row r="32" spans="1:8" x14ac:dyDescent="0.3">
      <c r="C32" s="25"/>
      <c r="E32" s="11"/>
      <c r="H32" s="9"/>
    </row>
    <row r="33" spans="3:9" x14ac:dyDescent="0.3">
      <c r="C33" s="11"/>
      <c r="H33" s="9"/>
    </row>
    <row r="34" spans="3:9" x14ac:dyDescent="0.3">
      <c r="C34" s="11"/>
      <c r="H34" s="9"/>
    </row>
    <row r="35" spans="3:9" x14ac:dyDescent="0.3">
      <c r="H35" s="9"/>
      <c r="I35" s="11"/>
    </row>
    <row r="36" spans="3:9" x14ac:dyDescent="0.3">
      <c r="H36" s="9"/>
      <c r="I36" s="11"/>
    </row>
    <row r="37" spans="3:9" x14ac:dyDescent="0.3">
      <c r="C37" s="11"/>
      <c r="H37" s="9"/>
    </row>
    <row r="38" spans="3:9" x14ac:dyDescent="0.3">
      <c r="E38" s="11"/>
      <c r="H38" s="9"/>
    </row>
    <row r="39" spans="3:9" x14ac:dyDescent="0.3">
      <c r="H39" s="9"/>
    </row>
    <row r="40" spans="3:9" x14ac:dyDescent="0.3">
      <c r="H40" s="9"/>
      <c r="I40" s="11"/>
    </row>
    <row r="41" spans="3:9" x14ac:dyDescent="0.3">
      <c r="C41" s="11"/>
      <c r="H41" s="9"/>
    </row>
    <row r="42" spans="3:9" x14ac:dyDescent="0.3">
      <c r="H42" s="9"/>
    </row>
    <row r="43" spans="3:9" x14ac:dyDescent="0.3">
      <c r="H43" s="9"/>
    </row>
    <row r="44" spans="3:9" x14ac:dyDescent="0.3">
      <c r="H44" s="9"/>
    </row>
    <row r="45" spans="3:9" x14ac:dyDescent="0.3">
      <c r="H45" s="9"/>
    </row>
    <row r="46" spans="3:9" x14ac:dyDescent="0.3">
      <c r="H46" s="9"/>
    </row>
    <row r="47" spans="3:9" x14ac:dyDescent="0.3">
      <c r="H47" s="9"/>
    </row>
    <row r="48" spans="3:9" x14ac:dyDescent="0.3">
      <c r="H48" s="9"/>
    </row>
    <row r="49" spans="3:8" x14ac:dyDescent="0.3">
      <c r="C49" s="11"/>
      <c r="D49" s="11"/>
      <c r="E49" s="11"/>
      <c r="F49" s="11"/>
      <c r="H49" s="9"/>
    </row>
    <row r="50" spans="3:8" x14ac:dyDescent="0.3">
      <c r="H50" s="9"/>
    </row>
    <row r="51" spans="3:8" x14ac:dyDescent="0.3">
      <c r="H51" s="9"/>
    </row>
    <row r="52" spans="3:8" x14ac:dyDescent="0.3">
      <c r="H52" s="9"/>
    </row>
    <row r="53" spans="3:8" x14ac:dyDescent="0.3">
      <c r="H53" s="9"/>
    </row>
    <row r="54" spans="3:8" x14ac:dyDescent="0.3">
      <c r="H54" s="9"/>
    </row>
    <row r="55" spans="3:8" x14ac:dyDescent="0.3">
      <c r="H55" s="9"/>
    </row>
    <row r="56" spans="3:8" x14ac:dyDescent="0.3">
      <c r="H56" s="9"/>
    </row>
    <row r="57" spans="3:8" x14ac:dyDescent="0.3">
      <c r="C57" s="12"/>
      <c r="D57" s="12"/>
      <c r="E57" s="12"/>
      <c r="F57" s="12"/>
      <c r="H57" s="9"/>
    </row>
    <row r="58" spans="3:8" x14ac:dyDescent="0.3">
      <c r="H58" s="9"/>
    </row>
    <row r="59" spans="3:8" x14ac:dyDescent="0.3">
      <c r="H59" s="9"/>
    </row>
    <row r="60" spans="3:8" x14ac:dyDescent="0.3">
      <c r="H60" s="9"/>
    </row>
    <row r="61" spans="3:8" x14ac:dyDescent="0.3">
      <c r="H61" s="9"/>
    </row>
    <row r="62" spans="3:8" x14ac:dyDescent="0.3">
      <c r="H62" s="9"/>
    </row>
    <row r="63" spans="3:8" x14ac:dyDescent="0.3">
      <c r="H63" s="9"/>
    </row>
    <row r="64" spans="3:8" x14ac:dyDescent="0.3">
      <c r="H64" s="9"/>
    </row>
    <row r="65" spans="3:8" x14ac:dyDescent="0.3">
      <c r="H65" s="9"/>
    </row>
    <row r="66" spans="3:8" x14ac:dyDescent="0.3">
      <c r="H66" s="9"/>
    </row>
    <row r="67" spans="3:8" x14ac:dyDescent="0.3">
      <c r="H67" s="9"/>
    </row>
    <row r="68" spans="3:8" x14ac:dyDescent="0.3">
      <c r="H68" s="9"/>
    </row>
    <row r="69" spans="3:8" x14ac:dyDescent="0.3">
      <c r="H69" s="9"/>
    </row>
    <row r="70" spans="3:8" x14ac:dyDescent="0.3">
      <c r="C70" s="12"/>
      <c r="D70" s="12"/>
      <c r="E70" s="12"/>
      <c r="F70" s="12"/>
      <c r="H70" s="9"/>
    </row>
    <row r="71" spans="3:8" x14ac:dyDescent="0.3">
      <c r="H71" s="9"/>
    </row>
    <row r="72" spans="3:8" x14ac:dyDescent="0.3">
      <c r="H72" s="9"/>
    </row>
    <row r="73" spans="3:8" x14ac:dyDescent="0.3">
      <c r="H73" s="9"/>
    </row>
    <row r="74" spans="3:8" x14ac:dyDescent="0.3">
      <c r="H74" s="9"/>
    </row>
    <row r="75" spans="3:8" x14ac:dyDescent="0.3">
      <c r="H75" s="9"/>
    </row>
    <row r="76" spans="3:8" x14ac:dyDescent="0.3">
      <c r="H76" s="9"/>
    </row>
    <row r="77" spans="3:8" x14ac:dyDescent="0.3">
      <c r="H77" s="9"/>
    </row>
    <row r="78" spans="3:8" x14ac:dyDescent="0.3">
      <c r="G78" s="26"/>
      <c r="H78" s="9"/>
    </row>
    <row r="79" spans="3:8" x14ac:dyDescent="0.3">
      <c r="G79" s="26"/>
      <c r="H79" s="9"/>
    </row>
    <row r="80" spans="3:8" x14ac:dyDescent="0.3">
      <c r="G80" s="26"/>
      <c r="H80" s="9"/>
    </row>
    <row r="81" spans="3:8" x14ac:dyDescent="0.3">
      <c r="H81" s="9"/>
    </row>
    <row r="82" spans="3:8" x14ac:dyDescent="0.3">
      <c r="G82" s="26"/>
      <c r="H82" s="9"/>
    </row>
    <row r="83" spans="3:8" x14ac:dyDescent="0.3">
      <c r="C83" s="11"/>
      <c r="D83" s="11"/>
      <c r="E83" s="11"/>
      <c r="F83" s="11"/>
      <c r="H83" s="9"/>
    </row>
    <row r="84" spans="3:8" x14ac:dyDescent="0.3">
      <c r="H84" s="9"/>
    </row>
    <row r="85" spans="3:8" x14ac:dyDescent="0.3">
      <c r="H85" s="9"/>
    </row>
    <row r="86" spans="3:8" x14ac:dyDescent="0.3">
      <c r="C86" s="11"/>
      <c r="D86" s="11"/>
      <c r="E86" s="11"/>
      <c r="F86" s="11"/>
      <c r="G86" s="26"/>
      <c r="H86" s="9"/>
    </row>
    <row r="87" spans="3:8" x14ac:dyDescent="0.3">
      <c r="H87" s="9"/>
    </row>
    <row r="88" spans="3:8" x14ac:dyDescent="0.3">
      <c r="H88" s="9"/>
    </row>
    <row r="89" spans="3:8" x14ac:dyDescent="0.3">
      <c r="H89" s="9"/>
    </row>
    <row r="90" spans="3:8" x14ac:dyDescent="0.3">
      <c r="H90" s="9"/>
    </row>
    <row r="91" spans="3:8" x14ac:dyDescent="0.3">
      <c r="H91" s="9"/>
    </row>
    <row r="92" spans="3:8" x14ac:dyDescent="0.3">
      <c r="H92" s="9"/>
    </row>
    <row r="93" spans="3:8" x14ac:dyDescent="0.3">
      <c r="H93" s="9"/>
    </row>
    <row r="94" spans="3:8" x14ac:dyDescent="0.3">
      <c r="H94" s="9"/>
    </row>
    <row r="95" spans="3:8" x14ac:dyDescent="0.3">
      <c r="H95" s="9"/>
    </row>
    <row r="96" spans="3:8" x14ac:dyDescent="0.3">
      <c r="H96" s="9"/>
    </row>
    <row r="97" spans="8:8" x14ac:dyDescent="0.3">
      <c r="H97" s="9"/>
    </row>
    <row r="98" spans="8:8" x14ac:dyDescent="0.3">
      <c r="H98" s="9"/>
    </row>
    <row r="99" spans="8:8" x14ac:dyDescent="0.3">
      <c r="H99" s="9"/>
    </row>
    <row r="100" spans="8:8" x14ac:dyDescent="0.3">
      <c r="H100" s="9"/>
    </row>
    <row r="101" spans="8:8" x14ac:dyDescent="0.3">
      <c r="H101" s="9"/>
    </row>
    <row r="102" spans="8:8" x14ac:dyDescent="0.3">
      <c r="H102" s="9"/>
    </row>
    <row r="103" spans="8:8" x14ac:dyDescent="0.3">
      <c r="H103" s="9"/>
    </row>
    <row r="104" spans="8:8" x14ac:dyDescent="0.3">
      <c r="H104" s="9"/>
    </row>
    <row r="105" spans="8:8" x14ac:dyDescent="0.3">
      <c r="H105" s="9"/>
    </row>
    <row r="106" spans="8:8" x14ac:dyDescent="0.3">
      <c r="H106" s="9"/>
    </row>
    <row r="107" spans="8:8" x14ac:dyDescent="0.3">
      <c r="H107" s="9"/>
    </row>
    <row r="108" spans="8:8" x14ac:dyDescent="0.3">
      <c r="H108" s="9"/>
    </row>
    <row r="109" spans="8:8" x14ac:dyDescent="0.3">
      <c r="H109" s="9"/>
    </row>
    <row r="110" spans="8:8" x14ac:dyDescent="0.3">
      <c r="H110" s="9"/>
    </row>
    <row r="111" spans="8:8" x14ac:dyDescent="0.3">
      <c r="H111" s="9"/>
    </row>
    <row r="112" spans="8:8" x14ac:dyDescent="0.3">
      <c r="H112" s="9"/>
    </row>
    <row r="113" spans="8:8" x14ac:dyDescent="0.3">
      <c r="H113" s="9"/>
    </row>
    <row r="114" spans="8:8" x14ac:dyDescent="0.3">
      <c r="H114" s="9"/>
    </row>
    <row r="115" spans="8:8" x14ac:dyDescent="0.3">
      <c r="H115" s="9"/>
    </row>
    <row r="116" spans="8:8" x14ac:dyDescent="0.3">
      <c r="H116" s="9"/>
    </row>
    <row r="117" spans="8:8" x14ac:dyDescent="0.3">
      <c r="H117" s="9"/>
    </row>
    <row r="118" spans="8:8" x14ac:dyDescent="0.3">
      <c r="H118" s="9"/>
    </row>
    <row r="119" spans="8:8" x14ac:dyDescent="0.3">
      <c r="H119" s="9"/>
    </row>
    <row r="120" spans="8:8" x14ac:dyDescent="0.3">
      <c r="H120" s="9"/>
    </row>
    <row r="121" spans="8:8" x14ac:dyDescent="0.3">
      <c r="H121" s="9"/>
    </row>
    <row r="122" spans="8:8" x14ac:dyDescent="0.3">
      <c r="H122" s="9"/>
    </row>
    <row r="123" spans="8:8" x14ac:dyDescent="0.3">
      <c r="H123" s="9"/>
    </row>
    <row r="124" spans="8:8" x14ac:dyDescent="0.3">
      <c r="H124" s="9"/>
    </row>
    <row r="125" spans="8:8" x14ac:dyDescent="0.3">
      <c r="H125" s="9"/>
    </row>
    <row r="126" spans="8:8" x14ac:dyDescent="0.3">
      <c r="H126" s="9"/>
    </row>
    <row r="127" spans="8:8" x14ac:dyDescent="0.3">
      <c r="H127" s="9"/>
    </row>
    <row r="128" spans="8:8" x14ac:dyDescent="0.3">
      <c r="H128" s="9"/>
    </row>
    <row r="129" spans="8:8" x14ac:dyDescent="0.3">
      <c r="H129" s="9"/>
    </row>
    <row r="130" spans="8:8" x14ac:dyDescent="0.3">
      <c r="H130" s="9"/>
    </row>
    <row r="131" spans="8:8" x14ac:dyDescent="0.3">
      <c r="H131" s="9"/>
    </row>
    <row r="132" spans="8:8" x14ac:dyDescent="0.3">
      <c r="H132" s="9"/>
    </row>
    <row r="133" spans="8:8" x14ac:dyDescent="0.3">
      <c r="H133" s="9"/>
    </row>
    <row r="134" spans="8:8" x14ac:dyDescent="0.3">
      <c r="H134" s="9"/>
    </row>
    <row r="135" spans="8:8" x14ac:dyDescent="0.3">
      <c r="H135" s="9"/>
    </row>
    <row r="136" spans="8:8" x14ac:dyDescent="0.3">
      <c r="H136" s="9"/>
    </row>
    <row r="137" spans="8:8" x14ac:dyDescent="0.3">
      <c r="H137" s="9"/>
    </row>
    <row r="138" spans="8:8" x14ac:dyDescent="0.3">
      <c r="H138" s="9"/>
    </row>
    <row r="139" spans="8:8" x14ac:dyDescent="0.3">
      <c r="H139" s="9"/>
    </row>
    <row r="140" spans="8:8" x14ac:dyDescent="0.3">
      <c r="H140" s="9"/>
    </row>
    <row r="141" spans="8:8" x14ac:dyDescent="0.3">
      <c r="H141" s="9"/>
    </row>
    <row r="142" spans="8:8" x14ac:dyDescent="0.3">
      <c r="H142" s="9"/>
    </row>
    <row r="143" spans="8:8" x14ac:dyDescent="0.3">
      <c r="H143" s="9"/>
    </row>
    <row r="144" spans="8:8" x14ac:dyDescent="0.3">
      <c r="H144" s="9"/>
    </row>
    <row r="145" spans="8:8" x14ac:dyDescent="0.3">
      <c r="H145" s="9"/>
    </row>
    <row r="146" spans="8:8" x14ac:dyDescent="0.3">
      <c r="H146" s="9"/>
    </row>
    <row r="147" spans="8:8" x14ac:dyDescent="0.3">
      <c r="H147" s="9"/>
    </row>
    <row r="148" spans="8:8" x14ac:dyDescent="0.3">
      <c r="H148" s="9"/>
    </row>
    <row r="149" spans="8:8" x14ac:dyDescent="0.3">
      <c r="H149" s="9"/>
    </row>
    <row r="150" spans="8:8" x14ac:dyDescent="0.3">
      <c r="H150" s="9"/>
    </row>
    <row r="151" spans="8:8" x14ac:dyDescent="0.3">
      <c r="H151" s="9"/>
    </row>
    <row r="152" spans="8:8" x14ac:dyDescent="0.3">
      <c r="H152" s="9"/>
    </row>
    <row r="153" spans="8:8" x14ac:dyDescent="0.3">
      <c r="H153" s="9"/>
    </row>
    <row r="154" spans="8:8" x14ac:dyDescent="0.3">
      <c r="H154" s="9"/>
    </row>
    <row r="155" spans="8:8" x14ac:dyDescent="0.3">
      <c r="H155" s="9"/>
    </row>
    <row r="156" spans="8:8" x14ac:dyDescent="0.3">
      <c r="H156" s="9"/>
    </row>
    <row r="157" spans="8:8" x14ac:dyDescent="0.3">
      <c r="H157" s="9"/>
    </row>
    <row r="158" spans="8:8" x14ac:dyDescent="0.3">
      <c r="H158" s="9"/>
    </row>
    <row r="159" spans="8:8" x14ac:dyDescent="0.3">
      <c r="H159" s="9"/>
    </row>
    <row r="160" spans="8:8" x14ac:dyDescent="0.3">
      <c r="H160" s="9"/>
    </row>
    <row r="161" spans="8:8" x14ac:dyDescent="0.3">
      <c r="H161" s="9"/>
    </row>
    <row r="162" spans="8:8" x14ac:dyDescent="0.3">
      <c r="H162" s="9"/>
    </row>
    <row r="163" spans="8:8" x14ac:dyDescent="0.3">
      <c r="H163" s="9"/>
    </row>
    <row r="164" spans="8:8" x14ac:dyDescent="0.3">
      <c r="H164" s="9"/>
    </row>
    <row r="165" spans="8:8" x14ac:dyDescent="0.3">
      <c r="H165" s="9"/>
    </row>
    <row r="166" spans="8:8" x14ac:dyDescent="0.3">
      <c r="H166" s="9"/>
    </row>
    <row r="167" spans="8:8" x14ac:dyDescent="0.3">
      <c r="H167" s="9"/>
    </row>
    <row r="168" spans="8:8" x14ac:dyDescent="0.3">
      <c r="H168" s="9"/>
    </row>
    <row r="169" spans="8:8" x14ac:dyDescent="0.3">
      <c r="H169" s="9"/>
    </row>
    <row r="170" spans="8:8" x14ac:dyDescent="0.3">
      <c r="H170" s="9"/>
    </row>
    <row r="171" spans="8:8" x14ac:dyDescent="0.3">
      <c r="H171" s="9"/>
    </row>
    <row r="172" spans="8:8" x14ac:dyDescent="0.3">
      <c r="H172" s="9"/>
    </row>
    <row r="173" spans="8:8" x14ac:dyDescent="0.3">
      <c r="H173" s="9"/>
    </row>
    <row r="174" spans="8:8" x14ac:dyDescent="0.3">
      <c r="H174" s="9"/>
    </row>
    <row r="175" spans="8:8" x14ac:dyDescent="0.3">
      <c r="H175" s="9"/>
    </row>
    <row r="176" spans="8:8" x14ac:dyDescent="0.3">
      <c r="H176" s="9"/>
    </row>
    <row r="177" spans="8:8" x14ac:dyDescent="0.3">
      <c r="H177" s="9"/>
    </row>
    <row r="178" spans="8:8" x14ac:dyDescent="0.3">
      <c r="H178" s="9"/>
    </row>
    <row r="179" spans="8:8" x14ac:dyDescent="0.3">
      <c r="H179" s="9"/>
    </row>
    <row r="180" spans="8:8" x14ac:dyDescent="0.3">
      <c r="H180" s="9"/>
    </row>
    <row r="181" spans="8:8" x14ac:dyDescent="0.3">
      <c r="H181" s="9"/>
    </row>
    <row r="182" spans="8:8" x14ac:dyDescent="0.3">
      <c r="H182" s="9"/>
    </row>
    <row r="183" spans="8:8" x14ac:dyDescent="0.3">
      <c r="H183" s="9"/>
    </row>
    <row r="184" spans="8:8" x14ac:dyDescent="0.3">
      <c r="H184" s="9"/>
    </row>
    <row r="185" spans="8:8" x14ac:dyDescent="0.3">
      <c r="H185" s="9"/>
    </row>
    <row r="186" spans="8:8" x14ac:dyDescent="0.3">
      <c r="H186" s="9"/>
    </row>
    <row r="187" spans="8:8" x14ac:dyDescent="0.3">
      <c r="H187" s="9"/>
    </row>
    <row r="188" spans="8:8" x14ac:dyDescent="0.3">
      <c r="H188" s="9"/>
    </row>
    <row r="189" spans="8:8" x14ac:dyDescent="0.3">
      <c r="H189" s="9"/>
    </row>
    <row r="190" spans="8:8" x14ac:dyDescent="0.3">
      <c r="H190" s="9"/>
    </row>
    <row r="191" spans="8:8" x14ac:dyDescent="0.3">
      <c r="H191" s="9"/>
    </row>
    <row r="192" spans="8:8" x14ac:dyDescent="0.3">
      <c r="H192" s="9"/>
    </row>
    <row r="193" spans="8:8" x14ac:dyDescent="0.3">
      <c r="H193" s="9"/>
    </row>
    <row r="194" spans="8:8" x14ac:dyDescent="0.3">
      <c r="H194" s="9"/>
    </row>
    <row r="195" spans="8:8" x14ac:dyDescent="0.3">
      <c r="H195" s="9"/>
    </row>
    <row r="196" spans="8:8" x14ac:dyDescent="0.3">
      <c r="H196" s="9"/>
    </row>
    <row r="197" spans="8:8" x14ac:dyDescent="0.3">
      <c r="H197" s="9"/>
    </row>
    <row r="198" spans="8:8" x14ac:dyDescent="0.3">
      <c r="H198" s="9"/>
    </row>
    <row r="199" spans="8:8" x14ac:dyDescent="0.3">
      <c r="H199" s="9"/>
    </row>
    <row r="200" spans="8:8" x14ac:dyDescent="0.3">
      <c r="H200" s="9"/>
    </row>
    <row r="201" spans="8:8" x14ac:dyDescent="0.3">
      <c r="H201" s="9"/>
    </row>
    <row r="202" spans="8:8" x14ac:dyDescent="0.3">
      <c r="H202" s="9"/>
    </row>
    <row r="203" spans="8:8" x14ac:dyDescent="0.3">
      <c r="H203" s="9"/>
    </row>
    <row r="204" spans="8:8" x14ac:dyDescent="0.3">
      <c r="H204" s="9"/>
    </row>
    <row r="205" spans="8:8" x14ac:dyDescent="0.3">
      <c r="H205" s="9"/>
    </row>
    <row r="206" spans="8:8" x14ac:dyDescent="0.3">
      <c r="H206" s="9"/>
    </row>
    <row r="207" spans="8:8" x14ac:dyDescent="0.3">
      <c r="H207" s="9"/>
    </row>
    <row r="208" spans="8:8" x14ac:dyDescent="0.3">
      <c r="H208" s="9"/>
    </row>
    <row r="209" spans="8:8" x14ac:dyDescent="0.3">
      <c r="H209" s="9"/>
    </row>
    <row r="210" spans="8:8" x14ac:dyDescent="0.3">
      <c r="H210" s="9"/>
    </row>
    <row r="211" spans="8:8" x14ac:dyDescent="0.3">
      <c r="H211" s="9"/>
    </row>
    <row r="212" spans="8:8" x14ac:dyDescent="0.3">
      <c r="H212" s="9"/>
    </row>
    <row r="213" spans="8:8" x14ac:dyDescent="0.3">
      <c r="H213" s="9"/>
    </row>
    <row r="214" spans="8:8" x14ac:dyDescent="0.3">
      <c r="H214" s="9"/>
    </row>
    <row r="215" spans="8:8" x14ac:dyDescent="0.3">
      <c r="H215" s="9"/>
    </row>
    <row r="216" spans="8:8" x14ac:dyDescent="0.3">
      <c r="H216" s="9"/>
    </row>
    <row r="217" spans="8:8" x14ac:dyDescent="0.3">
      <c r="H217" s="9"/>
    </row>
    <row r="218" spans="8:8" x14ac:dyDescent="0.3">
      <c r="H218" s="9"/>
    </row>
    <row r="219" spans="8:8" x14ac:dyDescent="0.3">
      <c r="H219" s="9"/>
    </row>
    <row r="220" spans="8:8" x14ac:dyDescent="0.3">
      <c r="H220" s="9"/>
    </row>
    <row r="221" spans="8:8" x14ac:dyDescent="0.3">
      <c r="H221" s="9"/>
    </row>
    <row r="222" spans="8:8" x14ac:dyDescent="0.3">
      <c r="H222" s="9"/>
    </row>
    <row r="223" spans="8:8" x14ac:dyDescent="0.3">
      <c r="H223" s="9"/>
    </row>
    <row r="224" spans="8:8" x14ac:dyDescent="0.3">
      <c r="H224" s="9"/>
    </row>
    <row r="225" spans="8:8" x14ac:dyDescent="0.3">
      <c r="H225" s="9"/>
    </row>
    <row r="226" spans="8:8" x14ac:dyDescent="0.3">
      <c r="H226" s="9"/>
    </row>
    <row r="227" spans="8:8" x14ac:dyDescent="0.3">
      <c r="H227" s="9"/>
    </row>
    <row r="228" spans="8:8" x14ac:dyDescent="0.3">
      <c r="H228" s="9"/>
    </row>
    <row r="229" spans="8:8" x14ac:dyDescent="0.3">
      <c r="H229" s="9"/>
    </row>
    <row r="230" spans="8:8" x14ac:dyDescent="0.3">
      <c r="H230" s="9"/>
    </row>
    <row r="231" spans="8:8" x14ac:dyDescent="0.3">
      <c r="H231" s="9"/>
    </row>
    <row r="232" spans="8:8" x14ac:dyDescent="0.3">
      <c r="H232" s="9"/>
    </row>
    <row r="233" spans="8:8" x14ac:dyDescent="0.3">
      <c r="H233" s="9"/>
    </row>
    <row r="234" spans="8:8" x14ac:dyDescent="0.3">
      <c r="H234" s="9"/>
    </row>
    <row r="235" spans="8:8" x14ac:dyDescent="0.3">
      <c r="H235" s="9"/>
    </row>
    <row r="236" spans="8:8" x14ac:dyDescent="0.3">
      <c r="H236" s="9"/>
    </row>
    <row r="237" spans="8:8" x14ac:dyDescent="0.3">
      <c r="H237" s="9"/>
    </row>
    <row r="238" spans="8:8" x14ac:dyDescent="0.3">
      <c r="H238" s="9"/>
    </row>
    <row r="239" spans="8:8" x14ac:dyDescent="0.3">
      <c r="H239" s="9"/>
    </row>
    <row r="240" spans="8:8" x14ac:dyDescent="0.3">
      <c r="H240" s="9"/>
    </row>
    <row r="241" spans="8:8" x14ac:dyDescent="0.3">
      <c r="H241" s="9"/>
    </row>
    <row r="242" spans="8:8" x14ac:dyDescent="0.3">
      <c r="H242" s="9"/>
    </row>
    <row r="243" spans="8:8" x14ac:dyDescent="0.3">
      <c r="H243" s="9"/>
    </row>
    <row r="244" spans="8:8" x14ac:dyDescent="0.3">
      <c r="H244" s="9"/>
    </row>
    <row r="245" spans="8:8" x14ac:dyDescent="0.3">
      <c r="H245" s="9"/>
    </row>
    <row r="246" spans="8:8" x14ac:dyDescent="0.3">
      <c r="H246" s="9"/>
    </row>
    <row r="247" spans="8:8" x14ac:dyDescent="0.3">
      <c r="H247" s="9"/>
    </row>
    <row r="248" spans="8:8" x14ac:dyDescent="0.3">
      <c r="H248" s="9"/>
    </row>
    <row r="249" spans="8:8" x14ac:dyDescent="0.3">
      <c r="H249" s="9"/>
    </row>
    <row r="250" spans="8:8" x14ac:dyDescent="0.3">
      <c r="H250" s="9"/>
    </row>
    <row r="251" spans="8:8" x14ac:dyDescent="0.3">
      <c r="H251" s="9"/>
    </row>
    <row r="252" spans="8:8" x14ac:dyDescent="0.3">
      <c r="H252" s="9"/>
    </row>
    <row r="253" spans="8:8" x14ac:dyDescent="0.3">
      <c r="H253" s="9"/>
    </row>
    <row r="254" spans="8:8" x14ac:dyDescent="0.3">
      <c r="H254" s="9"/>
    </row>
    <row r="255" spans="8:8" x14ac:dyDescent="0.3">
      <c r="H255" s="9"/>
    </row>
    <row r="256" spans="8:8" x14ac:dyDescent="0.3">
      <c r="H256" s="9"/>
    </row>
    <row r="257" spans="8:8" x14ac:dyDescent="0.3">
      <c r="H257" s="9"/>
    </row>
    <row r="258" spans="8:8" x14ac:dyDescent="0.3">
      <c r="H258" s="9"/>
    </row>
    <row r="259" spans="8:8" x14ac:dyDescent="0.3">
      <c r="H259" s="9"/>
    </row>
    <row r="260" spans="8:8" x14ac:dyDescent="0.3">
      <c r="H260" s="9"/>
    </row>
    <row r="261" spans="8:8" x14ac:dyDescent="0.3">
      <c r="H261" s="9"/>
    </row>
    <row r="262" spans="8:8" x14ac:dyDescent="0.3">
      <c r="H262" s="9"/>
    </row>
    <row r="263" spans="8:8" x14ac:dyDescent="0.3">
      <c r="H263" s="9"/>
    </row>
    <row r="264" spans="8:8" x14ac:dyDescent="0.3">
      <c r="H264" s="9"/>
    </row>
    <row r="265" spans="8:8" x14ac:dyDescent="0.3">
      <c r="H265" s="9"/>
    </row>
    <row r="266" spans="8:8" x14ac:dyDescent="0.3">
      <c r="H266" s="9"/>
    </row>
    <row r="267" spans="8:8" x14ac:dyDescent="0.3">
      <c r="H267" s="9"/>
    </row>
    <row r="268" spans="8:8" x14ac:dyDescent="0.3">
      <c r="H268" s="9"/>
    </row>
    <row r="269" spans="8:8" x14ac:dyDescent="0.3">
      <c r="H269" s="9"/>
    </row>
    <row r="270" spans="8:8" x14ac:dyDescent="0.3">
      <c r="H270" s="9"/>
    </row>
    <row r="271" spans="8:8" x14ac:dyDescent="0.3">
      <c r="H271" s="9"/>
    </row>
    <row r="272" spans="8:8" x14ac:dyDescent="0.3">
      <c r="H272" s="9"/>
    </row>
    <row r="273" spans="3:9" x14ac:dyDescent="0.3">
      <c r="H273" s="9"/>
    </row>
    <row r="274" spans="3:9" x14ac:dyDescent="0.3">
      <c r="H274" s="9"/>
    </row>
    <row r="275" spans="3:9" x14ac:dyDescent="0.3">
      <c r="H275" s="9"/>
    </row>
    <row r="276" spans="3:9" x14ac:dyDescent="0.3">
      <c r="H276" s="9"/>
    </row>
    <row r="277" spans="3:9" x14ac:dyDescent="0.3">
      <c r="H277" s="9"/>
    </row>
    <row r="278" spans="3:9" x14ac:dyDescent="0.3">
      <c r="H278" s="9"/>
    </row>
    <row r="279" spans="3:9" x14ac:dyDescent="0.3">
      <c r="H279" s="9"/>
    </row>
    <row r="280" spans="3:9" x14ac:dyDescent="0.3">
      <c r="H280" s="9"/>
    </row>
    <row r="281" spans="3:9" x14ac:dyDescent="0.3">
      <c r="H281" s="9"/>
    </row>
    <row r="282" spans="3:9" x14ac:dyDescent="0.3">
      <c r="H282" s="9"/>
    </row>
    <row r="283" spans="3:9" x14ac:dyDescent="0.3">
      <c r="H283" s="9"/>
    </row>
    <row r="284" spans="3:9" x14ac:dyDescent="0.3">
      <c r="H284" s="9"/>
    </row>
    <row r="285" spans="3:9" x14ac:dyDescent="0.3">
      <c r="H285" s="9"/>
    </row>
    <row r="286" spans="3:9" x14ac:dyDescent="0.3">
      <c r="H286" s="9"/>
    </row>
    <row r="287" spans="3:9" x14ac:dyDescent="0.3">
      <c r="E287" s="11"/>
      <c r="H287" s="9"/>
    </row>
    <row r="288" spans="3:9" x14ac:dyDescent="0.3">
      <c r="C288" s="11"/>
      <c r="H288" s="9"/>
      <c r="I288" s="11"/>
    </row>
    <row r="289" spans="2:8" x14ac:dyDescent="0.3">
      <c r="H289" s="9"/>
    </row>
    <row r="290" spans="2:8" x14ac:dyDescent="0.3">
      <c r="B290" s="30"/>
      <c r="E290" s="11"/>
      <c r="H290" s="9"/>
    </row>
    <row r="291" spans="2:8" x14ac:dyDescent="0.3">
      <c r="C291" s="27"/>
      <c r="D291" s="27"/>
      <c r="E291" s="27"/>
      <c r="F291" s="27"/>
      <c r="H291" s="9"/>
    </row>
    <row r="292" spans="2:8" x14ac:dyDescent="0.3">
      <c r="C292" s="27"/>
      <c r="D292" s="27"/>
      <c r="E292" s="27"/>
      <c r="F292" s="27"/>
      <c r="H292" s="9"/>
    </row>
    <row r="293" spans="2:8" x14ac:dyDescent="0.3">
      <c r="C293" s="14"/>
      <c r="D293" s="14"/>
      <c r="E293" s="14"/>
      <c r="F293" s="14"/>
      <c r="H293" s="9"/>
    </row>
    <row r="294" spans="2:8" x14ac:dyDescent="0.3">
      <c r="C294" s="11"/>
      <c r="H294" s="9"/>
    </row>
    <row r="295" spans="2:8" x14ac:dyDescent="0.3">
      <c r="E295" s="11"/>
      <c r="H295" s="9"/>
    </row>
    <row r="296" spans="2:8" x14ac:dyDescent="0.3">
      <c r="E296" s="11"/>
      <c r="H296" s="9"/>
    </row>
    <row r="297" spans="2:8" x14ac:dyDescent="0.3">
      <c r="H297" s="9"/>
    </row>
    <row r="298" spans="2:8" x14ac:dyDescent="0.3">
      <c r="H298" s="9"/>
    </row>
    <row r="299" spans="2:8" x14ac:dyDescent="0.3">
      <c r="H299" s="9"/>
    </row>
    <row r="300" spans="2:8" x14ac:dyDescent="0.3">
      <c r="H300" s="9"/>
    </row>
    <row r="301" spans="2:8" x14ac:dyDescent="0.3">
      <c r="H301" s="9"/>
    </row>
    <row r="302" spans="2:8" x14ac:dyDescent="0.3">
      <c r="H302" s="9"/>
    </row>
    <row r="303" spans="2:8" x14ac:dyDescent="0.3">
      <c r="H303" s="9"/>
    </row>
    <row r="304" spans="2:8" x14ac:dyDescent="0.3">
      <c r="H304" s="9"/>
    </row>
    <row r="305" spans="8:8" x14ac:dyDescent="0.3">
      <c r="H305" s="9"/>
    </row>
    <row r="306" spans="8:8" x14ac:dyDescent="0.3">
      <c r="H306" s="9"/>
    </row>
    <row r="307" spans="8:8" x14ac:dyDescent="0.3">
      <c r="H307" s="9"/>
    </row>
    <row r="308" spans="8:8" x14ac:dyDescent="0.3">
      <c r="H308" s="9"/>
    </row>
    <row r="309" spans="8:8" x14ac:dyDescent="0.3">
      <c r="H309" s="9"/>
    </row>
    <row r="310" spans="8:8" x14ac:dyDescent="0.3">
      <c r="H310" s="9"/>
    </row>
    <row r="311" spans="8:8" x14ac:dyDescent="0.3">
      <c r="H311" s="9"/>
    </row>
    <row r="312" spans="8:8" x14ac:dyDescent="0.3">
      <c r="H312" s="9"/>
    </row>
    <row r="313" spans="8:8" x14ac:dyDescent="0.3">
      <c r="H313" s="9"/>
    </row>
    <row r="314" spans="8:8" x14ac:dyDescent="0.3">
      <c r="H314" s="9"/>
    </row>
    <row r="315" spans="8:8" x14ac:dyDescent="0.3">
      <c r="H315" s="9"/>
    </row>
    <row r="316" spans="8:8" x14ac:dyDescent="0.3">
      <c r="H316" s="9"/>
    </row>
    <row r="317" spans="8:8" x14ac:dyDescent="0.3">
      <c r="H317" s="9"/>
    </row>
    <row r="318" spans="8:8" x14ac:dyDescent="0.3">
      <c r="H318" s="9"/>
    </row>
    <row r="319" spans="8:8" x14ac:dyDescent="0.3">
      <c r="H319" s="9"/>
    </row>
    <row r="320" spans="8:8" x14ac:dyDescent="0.3">
      <c r="H320" s="9"/>
    </row>
    <row r="321" spans="8:8" x14ac:dyDescent="0.3">
      <c r="H321" s="9"/>
    </row>
    <row r="322" spans="8:8" x14ac:dyDescent="0.3">
      <c r="H322" s="9"/>
    </row>
    <row r="323" spans="8:8" x14ac:dyDescent="0.3">
      <c r="H323" s="9"/>
    </row>
    <row r="324" spans="8:8" x14ac:dyDescent="0.3">
      <c r="H324" s="9"/>
    </row>
    <row r="325" spans="8:8" x14ac:dyDescent="0.3">
      <c r="H325" s="9"/>
    </row>
    <row r="326" spans="8:8" x14ac:dyDescent="0.3">
      <c r="H326" s="9"/>
    </row>
    <row r="327" spans="8:8" x14ac:dyDescent="0.3">
      <c r="H327" s="9"/>
    </row>
    <row r="328" spans="8:8" x14ac:dyDescent="0.3">
      <c r="H328" s="9"/>
    </row>
    <row r="329" spans="8:8" x14ac:dyDescent="0.3">
      <c r="H329" s="9"/>
    </row>
    <row r="330" spans="8:8" x14ac:dyDescent="0.3">
      <c r="H330" s="9"/>
    </row>
    <row r="331" spans="8:8" x14ac:dyDescent="0.3">
      <c r="H331" s="9"/>
    </row>
    <row r="332" spans="8:8" x14ac:dyDescent="0.3">
      <c r="H332" s="9"/>
    </row>
    <row r="333" spans="8:8" x14ac:dyDescent="0.3">
      <c r="H333" s="9"/>
    </row>
    <row r="334" spans="8:8" x14ac:dyDescent="0.3">
      <c r="H334" s="9"/>
    </row>
    <row r="335" spans="8:8" x14ac:dyDescent="0.3">
      <c r="H335" s="9"/>
    </row>
    <row r="336" spans="8:8" x14ac:dyDescent="0.3">
      <c r="H336" s="9"/>
    </row>
    <row r="337" spans="8:8" x14ac:dyDescent="0.3">
      <c r="H337" s="9"/>
    </row>
    <row r="338" spans="8:8" x14ac:dyDescent="0.3">
      <c r="H338" s="9"/>
    </row>
    <row r="339" spans="8:8" x14ac:dyDescent="0.3">
      <c r="H339" s="9"/>
    </row>
    <row r="340" spans="8:8" x14ac:dyDescent="0.3">
      <c r="H340" s="9"/>
    </row>
    <row r="341" spans="8:8" x14ac:dyDescent="0.3">
      <c r="H341" s="9"/>
    </row>
    <row r="342" spans="8:8" x14ac:dyDescent="0.3">
      <c r="H342" s="9"/>
    </row>
    <row r="343" spans="8:8" x14ac:dyDescent="0.3">
      <c r="H343" s="9"/>
    </row>
    <row r="344" spans="8:8" x14ac:dyDescent="0.3">
      <c r="H344" s="9"/>
    </row>
    <row r="345" spans="8:8" x14ac:dyDescent="0.3">
      <c r="H345" s="9"/>
    </row>
    <row r="346" spans="8:8" x14ac:dyDescent="0.3">
      <c r="H346" s="9"/>
    </row>
    <row r="347" spans="8:8" x14ac:dyDescent="0.3">
      <c r="H347" s="9"/>
    </row>
    <row r="348" spans="8:8" x14ac:dyDescent="0.3">
      <c r="H348" s="9"/>
    </row>
    <row r="349" spans="8:8" x14ac:dyDescent="0.3">
      <c r="H349" s="9"/>
    </row>
    <row r="350" spans="8:8" x14ac:dyDescent="0.3">
      <c r="H350" s="9"/>
    </row>
    <row r="351" spans="8:8" x14ac:dyDescent="0.3">
      <c r="H351" s="9"/>
    </row>
    <row r="352" spans="8:8" x14ac:dyDescent="0.3">
      <c r="H352" s="9"/>
    </row>
    <row r="353" spans="8:8" x14ac:dyDescent="0.3">
      <c r="H353" s="9"/>
    </row>
    <row r="354" spans="8:8" x14ac:dyDescent="0.3">
      <c r="H354" s="9"/>
    </row>
    <row r="355" spans="8:8" x14ac:dyDescent="0.3">
      <c r="H355" s="9"/>
    </row>
    <row r="356" spans="8:8" x14ac:dyDescent="0.3">
      <c r="H356" s="9"/>
    </row>
    <row r="357" spans="8:8" x14ac:dyDescent="0.3">
      <c r="H357" s="9"/>
    </row>
    <row r="358" spans="8:8" x14ac:dyDescent="0.3">
      <c r="H358" s="9"/>
    </row>
    <row r="359" spans="8:8" x14ac:dyDescent="0.3">
      <c r="H359" s="9"/>
    </row>
    <row r="360" spans="8:8" x14ac:dyDescent="0.3">
      <c r="H360" s="9"/>
    </row>
    <row r="361" spans="8:8" x14ac:dyDescent="0.3">
      <c r="H361" s="9"/>
    </row>
    <row r="362" spans="8:8" x14ac:dyDescent="0.3">
      <c r="H362" s="9"/>
    </row>
    <row r="363" spans="8:8" x14ac:dyDescent="0.3">
      <c r="H363" s="9"/>
    </row>
    <row r="364" spans="8:8" x14ac:dyDescent="0.3">
      <c r="H364" s="9"/>
    </row>
    <row r="365" spans="8:8" x14ac:dyDescent="0.3">
      <c r="H365" s="9"/>
    </row>
    <row r="366" spans="8:8" x14ac:dyDescent="0.3">
      <c r="H366" s="9"/>
    </row>
    <row r="367" spans="8:8" x14ac:dyDescent="0.3">
      <c r="H367" s="9"/>
    </row>
    <row r="368" spans="8:8" x14ac:dyDescent="0.3">
      <c r="H368" s="9"/>
    </row>
    <row r="369" spans="8:8" x14ac:dyDescent="0.3">
      <c r="H369" s="9"/>
    </row>
    <row r="370" spans="8:8" x14ac:dyDescent="0.3">
      <c r="H370" s="9"/>
    </row>
    <row r="371" spans="8:8" x14ac:dyDescent="0.3">
      <c r="H371" s="9"/>
    </row>
    <row r="372" spans="8:8" x14ac:dyDescent="0.3">
      <c r="H372" s="9"/>
    </row>
    <row r="373" spans="8:8" x14ac:dyDescent="0.3">
      <c r="H373" s="9"/>
    </row>
    <row r="374" spans="8:8" x14ac:dyDescent="0.3">
      <c r="H374" s="9"/>
    </row>
  </sheetData>
  <dataValidations disablePrompts="1" count="1">
    <dataValidation type="list" allowBlank="1" showInputMessage="1" showErrorMessage="1" sqref="H1:H374" xr:uid="{BB59FDE7-2B9B-4F55-BB8F-700FA9F33E61}">
      <formula1>#REF!</formula1>
    </dataValidation>
  </dataValidations>
  <pageMargins left="0.11811023622047245" right="0.11811023622047245" top="0.39370078740157483" bottom="0.39370078740157483" header="0.11811023622047245" footer="0.11811023622047245"/>
  <pageSetup paperSize="9" orientation="landscape" r:id="rId1"/>
  <headerFooter>
    <oddHeader>&amp;Cpg.&amp;P&amp;R&amp;D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1CC14-38B3-4A8F-B485-872E175E4C43}">
  <dimension ref="A1:G130"/>
  <sheetViews>
    <sheetView topLeftCell="A37" zoomScale="110" zoomScaleNormal="110" workbookViewId="0">
      <selection activeCell="A41" sqref="A41"/>
    </sheetView>
  </sheetViews>
  <sheetFormatPr defaultRowHeight="18" x14ac:dyDescent="0.3"/>
  <cols>
    <col min="1" max="1" width="43.109375" style="34" bestFit="1" customWidth="1"/>
    <col min="2" max="2" width="44.6640625" style="34" bestFit="1" customWidth="1"/>
    <col min="3" max="3" width="50.109375" style="92" customWidth="1"/>
    <col min="4" max="4" width="18.88671875" style="33" customWidth="1"/>
    <col min="5" max="5" width="45.5546875" style="28" customWidth="1"/>
    <col min="6" max="6" width="19.109375" style="28" customWidth="1"/>
    <col min="7" max="7" width="53.33203125" style="28" customWidth="1"/>
    <col min="8" max="16384" width="8.88671875" style="28"/>
  </cols>
  <sheetData>
    <row r="1" spans="1:3" hidden="1" x14ac:dyDescent="0.3">
      <c r="A1" s="3" t="s">
        <v>274</v>
      </c>
      <c r="B1" s="93">
        <f>'Entrada de dados'!B1</f>
        <v>0</v>
      </c>
      <c r="C1" s="91"/>
    </row>
    <row r="2" spans="1:3" hidden="1" x14ac:dyDescent="0.3">
      <c r="A2" s="3" t="s">
        <v>308</v>
      </c>
      <c r="B2" s="93">
        <f>'Entrada de dados'!B2</f>
        <v>0</v>
      </c>
      <c r="C2" s="91"/>
    </row>
    <row r="3" spans="1:3" hidden="1" x14ac:dyDescent="0.3">
      <c r="A3" s="3" t="s">
        <v>265</v>
      </c>
      <c r="B3" s="93">
        <f>'Entrada de dados'!B3</f>
        <v>0</v>
      </c>
      <c r="C3" s="91"/>
    </row>
    <row r="4" spans="1:3" hidden="1" x14ac:dyDescent="0.3">
      <c r="A4" s="3" t="s">
        <v>266</v>
      </c>
      <c r="B4" s="90" t="s">
        <v>275</v>
      </c>
      <c r="C4" s="91"/>
    </row>
    <row r="5" spans="1:3" hidden="1" x14ac:dyDescent="0.3">
      <c r="A5" s="3" t="s">
        <v>267</v>
      </c>
      <c r="B5" s="100" t="s">
        <v>273</v>
      </c>
      <c r="C5" s="91"/>
    </row>
    <row r="6" spans="1:3" hidden="1" x14ac:dyDescent="0.3">
      <c r="A6" s="3" t="s">
        <v>268</v>
      </c>
      <c r="B6" s="100" t="s">
        <v>273</v>
      </c>
      <c r="C6" s="91"/>
    </row>
    <row r="7" spans="1:3" hidden="1" x14ac:dyDescent="0.3">
      <c r="A7" s="3" t="s">
        <v>269</v>
      </c>
      <c r="B7" s="100" t="s">
        <v>273</v>
      </c>
      <c r="C7" s="91"/>
    </row>
    <row r="8" spans="1:3" hidden="1" x14ac:dyDescent="0.3">
      <c r="A8" s="3" t="s">
        <v>270</v>
      </c>
      <c r="B8" s="100" t="s">
        <v>273</v>
      </c>
      <c r="C8" s="91"/>
    </row>
    <row r="9" spans="1:3" hidden="1" x14ac:dyDescent="0.3">
      <c r="A9" s="3" t="s">
        <v>271</v>
      </c>
      <c r="B9" s="100" t="s">
        <v>273</v>
      </c>
      <c r="C9" s="91"/>
    </row>
    <row r="10" spans="1:3" hidden="1" x14ac:dyDescent="0.3">
      <c r="A10" s="3" t="s">
        <v>272</v>
      </c>
      <c r="B10" s="100" t="s">
        <v>273</v>
      </c>
      <c r="C10" s="91"/>
    </row>
    <row r="11" spans="1:3" hidden="1" x14ac:dyDescent="0.3">
      <c r="A11" s="67"/>
      <c r="B11" s="67"/>
      <c r="C11" s="67"/>
    </row>
    <row r="12" spans="1:3" hidden="1" x14ac:dyDescent="0.3">
      <c r="A12" s="99" t="s">
        <v>284</v>
      </c>
      <c r="B12" s="97" t="s">
        <v>307</v>
      </c>
      <c r="C12" s="109" t="s">
        <v>354</v>
      </c>
    </row>
    <row r="13" spans="1:3" hidden="1" x14ac:dyDescent="0.3">
      <c r="A13" s="107" t="s">
        <v>285</v>
      </c>
      <c r="B13" s="108">
        <f>'Entrada de dados'!B4</f>
        <v>0</v>
      </c>
    </row>
    <row r="14" spans="1:3" hidden="1" x14ac:dyDescent="0.3">
      <c r="A14" s="107" t="s">
        <v>286</v>
      </c>
      <c r="B14" s="108">
        <f>B13</f>
        <v>0</v>
      </c>
    </row>
    <row r="15" spans="1:3" hidden="1" x14ac:dyDescent="0.3">
      <c r="A15" s="107" t="s">
        <v>287</v>
      </c>
      <c r="B15" s="108">
        <f>'Entrada de dados'!B5</f>
        <v>0</v>
      </c>
    </row>
    <row r="16" spans="1:3" hidden="1" x14ac:dyDescent="0.3">
      <c r="A16" s="107" t="s">
        <v>397</v>
      </c>
      <c r="B16" s="108">
        <f>'Entrada de dados'!B6</f>
        <v>0</v>
      </c>
    </row>
    <row r="17" spans="1:2" hidden="1" x14ac:dyDescent="0.3">
      <c r="A17" s="107" t="s">
        <v>288</v>
      </c>
      <c r="B17" s="108">
        <f>B15+B16</f>
        <v>0</v>
      </c>
    </row>
    <row r="18" spans="1:2" hidden="1" x14ac:dyDescent="0.3">
      <c r="A18" s="107" t="s">
        <v>289</v>
      </c>
      <c r="B18" s="108">
        <f>B14+B17</f>
        <v>0</v>
      </c>
    </row>
    <row r="19" spans="1:2" hidden="1" x14ac:dyDescent="0.3">
      <c r="A19" s="107" t="s">
        <v>290</v>
      </c>
      <c r="B19" s="108">
        <f>'Entrada de dados'!B7</f>
        <v>0</v>
      </c>
    </row>
    <row r="20" spans="1:2" hidden="1" x14ac:dyDescent="0.3">
      <c r="A20" s="107" t="s">
        <v>291</v>
      </c>
      <c r="B20" s="108">
        <f>B19</f>
        <v>0</v>
      </c>
    </row>
    <row r="21" spans="1:2" hidden="1" x14ac:dyDescent="0.3">
      <c r="A21" s="105" t="s">
        <v>292</v>
      </c>
      <c r="B21" s="106">
        <f>B18+B20</f>
        <v>0</v>
      </c>
    </row>
    <row r="22" spans="1:2" hidden="1" x14ac:dyDescent="0.3">
      <c r="A22" s="107" t="s">
        <v>293</v>
      </c>
      <c r="B22" s="108">
        <f>'Entrada de dados'!B8</f>
        <v>0</v>
      </c>
    </row>
    <row r="23" spans="1:2" hidden="1" x14ac:dyDescent="0.3">
      <c r="A23" s="107" t="s">
        <v>294</v>
      </c>
      <c r="B23" s="108">
        <f>B22</f>
        <v>0</v>
      </c>
    </row>
    <row r="24" spans="1:2" hidden="1" x14ac:dyDescent="0.3">
      <c r="A24" s="107" t="s">
        <v>295</v>
      </c>
      <c r="B24" s="108">
        <f>'Entrada de dados'!B9</f>
        <v>0</v>
      </c>
    </row>
    <row r="25" spans="1:2" hidden="1" x14ac:dyDescent="0.3">
      <c r="A25" s="107" t="s">
        <v>296</v>
      </c>
      <c r="B25" s="108">
        <f>B24</f>
        <v>0</v>
      </c>
    </row>
    <row r="26" spans="1:2" hidden="1" x14ac:dyDescent="0.3">
      <c r="A26" s="107" t="s">
        <v>297</v>
      </c>
      <c r="B26" s="108">
        <f>B23+B25</f>
        <v>0</v>
      </c>
    </row>
    <row r="27" spans="1:2" hidden="1" x14ac:dyDescent="0.3">
      <c r="A27" s="107" t="s">
        <v>298</v>
      </c>
      <c r="B27" s="108">
        <f>B21-B26</f>
        <v>0</v>
      </c>
    </row>
    <row r="28" spans="1:2" hidden="1" x14ac:dyDescent="0.3">
      <c r="A28" s="105" t="s">
        <v>299</v>
      </c>
      <c r="B28" s="106">
        <f>B26+B27</f>
        <v>0</v>
      </c>
    </row>
    <row r="29" spans="1:2" hidden="1" x14ac:dyDescent="0.3">
      <c r="A29" s="107" t="s">
        <v>373</v>
      </c>
      <c r="B29" s="108">
        <f>'Entrada de dados'!B11</f>
        <v>0</v>
      </c>
    </row>
    <row r="30" spans="1:2" hidden="1" x14ac:dyDescent="0.3">
      <c r="A30" s="107" t="s">
        <v>374</v>
      </c>
      <c r="B30" s="108">
        <f>'Entrada de dados'!B10</f>
        <v>0</v>
      </c>
    </row>
    <row r="31" spans="1:2" hidden="1" x14ac:dyDescent="0.3">
      <c r="A31" s="107" t="s">
        <v>306</v>
      </c>
      <c r="B31" s="108">
        <f>B29-B30</f>
        <v>0</v>
      </c>
    </row>
    <row r="32" spans="1:2" hidden="1" x14ac:dyDescent="0.3">
      <c r="A32" s="107" t="s">
        <v>300</v>
      </c>
      <c r="B32" s="108">
        <f>'Entrada de dados'!B16</f>
        <v>0</v>
      </c>
    </row>
    <row r="33" spans="1:5" hidden="1" x14ac:dyDescent="0.3">
      <c r="A33" s="107" t="s">
        <v>301</v>
      </c>
      <c r="B33" s="108">
        <f>'Entrada de dados'!B17</f>
        <v>0</v>
      </c>
    </row>
    <row r="34" spans="1:5" hidden="1" x14ac:dyDescent="0.3">
      <c r="A34" s="107" t="s">
        <v>304</v>
      </c>
      <c r="B34" s="108">
        <f>B31-B32-B33</f>
        <v>0</v>
      </c>
    </row>
    <row r="35" spans="1:5" hidden="1" x14ac:dyDescent="0.3">
      <c r="A35" s="107" t="s">
        <v>302</v>
      </c>
      <c r="B35" s="108">
        <f>'Entrada de dados'!B18</f>
        <v>0</v>
      </c>
    </row>
    <row r="36" spans="1:5" hidden="1" x14ac:dyDescent="0.3">
      <c r="A36" s="107" t="s">
        <v>305</v>
      </c>
      <c r="B36" s="108">
        <f>B34-B35</f>
        <v>0</v>
      </c>
    </row>
    <row r="37" spans="1:5" ht="30" x14ac:dyDescent="0.3">
      <c r="A37" s="78" t="s">
        <v>17</v>
      </c>
      <c r="B37" s="112" t="s">
        <v>310</v>
      </c>
      <c r="C37" s="78" t="s">
        <v>277</v>
      </c>
      <c r="D37" s="113" t="s">
        <v>386</v>
      </c>
    </row>
    <row r="38" spans="1:5" ht="17.399999999999999" x14ac:dyDescent="0.3">
      <c r="A38" s="35" t="s">
        <v>351</v>
      </c>
      <c r="B38" s="112" t="s">
        <v>0</v>
      </c>
      <c r="C38" s="95" t="e">
        <f>B31/B29*100</f>
        <v>#DIV/0!</v>
      </c>
      <c r="D38" s="114" t="s">
        <v>387</v>
      </c>
    </row>
    <row r="39" spans="1:5" ht="45" x14ac:dyDescent="0.3">
      <c r="A39" s="35" t="s">
        <v>382</v>
      </c>
      <c r="B39" s="112" t="s">
        <v>1</v>
      </c>
      <c r="C39" s="95" t="e">
        <f>B34/B29*100</f>
        <v>#DIV/0!</v>
      </c>
      <c r="D39" s="114" t="s">
        <v>387</v>
      </c>
    </row>
    <row r="40" spans="1:5" ht="45" x14ac:dyDescent="0.3">
      <c r="A40" s="35" t="s">
        <v>380</v>
      </c>
      <c r="B40" s="112" t="s">
        <v>2</v>
      </c>
      <c r="C40" s="95" t="e">
        <f>B36/B29*100</f>
        <v>#DIV/0!</v>
      </c>
      <c r="D40" s="114" t="s">
        <v>387</v>
      </c>
    </row>
    <row r="41" spans="1:5" ht="60" x14ac:dyDescent="0.3">
      <c r="A41" s="103" t="s">
        <v>384</v>
      </c>
      <c r="B41" s="112" t="s">
        <v>309</v>
      </c>
      <c r="C41" s="104" t="e">
        <f>(B23-B14)/B34</f>
        <v>#DIV/0!</v>
      </c>
      <c r="D41" s="114" t="s">
        <v>388</v>
      </c>
    </row>
    <row r="42" spans="1:5" ht="45" x14ac:dyDescent="0.3">
      <c r="A42" s="35" t="s">
        <v>381</v>
      </c>
      <c r="B42" s="112" t="s">
        <v>3</v>
      </c>
      <c r="C42" s="95" t="e">
        <f>B35/B34*100</f>
        <v>#DIV/0!</v>
      </c>
      <c r="D42" s="114" t="s">
        <v>388</v>
      </c>
      <c r="E42" s="111"/>
    </row>
    <row r="43" spans="1:5" ht="75" x14ac:dyDescent="0.3">
      <c r="A43" s="35" t="s">
        <v>389</v>
      </c>
      <c r="B43" s="112" t="s">
        <v>4</v>
      </c>
      <c r="C43" s="95" t="e">
        <f>B26/B27</f>
        <v>#DIV/0!</v>
      </c>
      <c r="D43" s="114" t="s">
        <v>388</v>
      </c>
    </row>
    <row r="44" spans="1:5" ht="30" x14ac:dyDescent="0.3">
      <c r="A44" s="35" t="s">
        <v>383</v>
      </c>
      <c r="B44" s="112" t="s">
        <v>5</v>
      </c>
      <c r="C44" s="95" t="e">
        <f>B29*2/B28</f>
        <v>#DIV/0!</v>
      </c>
      <c r="D44" s="114" t="s">
        <v>387</v>
      </c>
    </row>
    <row r="45" spans="1:5" ht="45" x14ac:dyDescent="0.3">
      <c r="A45" s="35" t="s">
        <v>385</v>
      </c>
      <c r="B45" s="112" t="s">
        <v>303</v>
      </c>
      <c r="C45" s="96">
        <f>'Entrada de dados'!B13+'Entrada de dados'!B14-'Entrada de dados'!B12</f>
        <v>0</v>
      </c>
      <c r="D45" s="114" t="s">
        <v>388</v>
      </c>
      <c r="E45" s="33"/>
    </row>
    <row r="46" spans="1:5" ht="69.599999999999994" x14ac:dyDescent="0.3">
      <c r="A46" s="35" t="s">
        <v>409</v>
      </c>
      <c r="B46" s="112" t="s">
        <v>410</v>
      </c>
      <c r="C46" s="117">
        <f>B15+B16-B24</f>
        <v>0</v>
      </c>
      <c r="D46" s="114" t="s">
        <v>411</v>
      </c>
      <c r="E46" s="33"/>
    </row>
    <row r="47" spans="1:5" ht="17.399999999999999" x14ac:dyDescent="0.3">
      <c r="A47" s="35" t="s">
        <v>371</v>
      </c>
      <c r="B47" s="112" t="s">
        <v>372</v>
      </c>
      <c r="C47" s="98" t="e">
        <f>(B17-B25)/B29</f>
        <v>#DIV/0!</v>
      </c>
      <c r="D47" s="114" t="s">
        <v>388</v>
      </c>
    </row>
    <row r="48" spans="1:5" ht="15" x14ac:dyDescent="0.3">
      <c r="A48" s="67"/>
      <c r="B48" s="67"/>
      <c r="C48" s="67"/>
      <c r="D48" s="67"/>
      <c r="E48" s="67"/>
    </row>
    <row r="49" spans="1:7" ht="15" x14ac:dyDescent="0.3">
      <c r="A49" s="88" t="s">
        <v>42</v>
      </c>
      <c r="B49" s="94" t="s">
        <v>318</v>
      </c>
      <c r="C49" s="89" t="s">
        <v>322</v>
      </c>
      <c r="D49" s="94" t="s">
        <v>319</v>
      </c>
      <c r="E49" s="89" t="s">
        <v>320</v>
      </c>
      <c r="F49" s="94" t="s">
        <v>317</v>
      </c>
      <c r="G49" s="89" t="s">
        <v>321</v>
      </c>
    </row>
    <row r="50" spans="1:7" ht="105" x14ac:dyDescent="0.3">
      <c r="A50" s="101" t="s">
        <v>351</v>
      </c>
      <c r="B50" s="102" t="s">
        <v>6</v>
      </c>
      <c r="C50" s="66" t="s">
        <v>30</v>
      </c>
      <c r="D50" s="102" t="s">
        <v>323</v>
      </c>
      <c r="E50" s="66" t="s">
        <v>30</v>
      </c>
      <c r="F50" s="102" t="s">
        <v>11</v>
      </c>
      <c r="G50" s="66" t="s">
        <v>337</v>
      </c>
    </row>
    <row r="51" spans="1:7" ht="60" x14ac:dyDescent="0.3">
      <c r="A51" s="101"/>
      <c r="B51" s="102" t="s">
        <v>7</v>
      </c>
      <c r="C51" s="66" t="s">
        <v>31</v>
      </c>
      <c r="D51" s="102" t="s">
        <v>324</v>
      </c>
      <c r="E51" s="66" t="s">
        <v>31</v>
      </c>
      <c r="F51" s="102" t="s">
        <v>326</v>
      </c>
      <c r="G51" s="66" t="s">
        <v>31</v>
      </c>
    </row>
    <row r="52" spans="1:7" ht="30" x14ac:dyDescent="0.3">
      <c r="A52" s="101"/>
      <c r="B52" s="102" t="s">
        <v>8</v>
      </c>
      <c r="C52" s="66" t="s">
        <v>72</v>
      </c>
      <c r="D52" s="102" t="s">
        <v>325</v>
      </c>
      <c r="E52" s="66" t="s">
        <v>72</v>
      </c>
      <c r="F52" s="102" t="s">
        <v>327</v>
      </c>
      <c r="G52" s="66" t="s">
        <v>72</v>
      </c>
    </row>
    <row r="53" spans="1:7" ht="15" x14ac:dyDescent="0.3">
      <c r="A53" s="67"/>
      <c r="B53" s="67"/>
      <c r="C53" s="67"/>
      <c r="D53" s="67"/>
      <c r="E53" s="67"/>
      <c r="F53" s="67"/>
      <c r="G53" s="67"/>
    </row>
    <row r="54" spans="1:7" ht="105" x14ac:dyDescent="0.3">
      <c r="A54" s="101" t="s">
        <v>360</v>
      </c>
      <c r="B54" s="102" t="s">
        <v>328</v>
      </c>
      <c r="C54" s="66" t="s">
        <v>74</v>
      </c>
      <c r="D54" s="102" t="s">
        <v>73</v>
      </c>
      <c r="E54" s="66" t="s">
        <v>74</v>
      </c>
      <c r="F54" s="102" t="s">
        <v>6</v>
      </c>
      <c r="G54" s="66" t="s">
        <v>74</v>
      </c>
    </row>
    <row r="55" spans="1:7" ht="60" x14ac:dyDescent="0.3">
      <c r="A55" s="101"/>
      <c r="B55" s="102" t="s">
        <v>362</v>
      </c>
      <c r="C55" s="66" t="s">
        <v>75</v>
      </c>
      <c r="D55" s="102" t="s">
        <v>363</v>
      </c>
      <c r="E55" s="66" t="s">
        <v>75</v>
      </c>
      <c r="F55" s="102" t="s">
        <v>365</v>
      </c>
      <c r="G55" s="66" t="s">
        <v>75</v>
      </c>
    </row>
    <row r="56" spans="1:7" ht="30" x14ac:dyDescent="0.3">
      <c r="A56" s="101"/>
      <c r="B56" s="102" t="s">
        <v>329</v>
      </c>
      <c r="C56" s="66" t="s">
        <v>76</v>
      </c>
      <c r="D56" s="102" t="s">
        <v>364</v>
      </c>
      <c r="E56" s="66" t="s">
        <v>76</v>
      </c>
      <c r="F56" s="102" t="s">
        <v>330</v>
      </c>
      <c r="G56" s="66" t="s">
        <v>76</v>
      </c>
    </row>
    <row r="57" spans="1:7" ht="15" x14ac:dyDescent="0.3">
      <c r="A57" s="67"/>
      <c r="B57" s="67"/>
      <c r="C57" s="67"/>
      <c r="D57" s="67"/>
      <c r="E57" s="67"/>
      <c r="F57" s="67"/>
      <c r="G57" s="67"/>
    </row>
    <row r="58" spans="1:7" ht="75" x14ac:dyDescent="0.3">
      <c r="A58" s="101" t="s">
        <v>58</v>
      </c>
      <c r="B58" s="102" t="s">
        <v>73</v>
      </c>
      <c r="C58" s="66" t="s">
        <v>32</v>
      </c>
      <c r="D58" s="102" t="s">
        <v>9</v>
      </c>
      <c r="E58" s="66" t="s">
        <v>32</v>
      </c>
      <c r="F58" s="102" t="s">
        <v>328</v>
      </c>
      <c r="G58" s="66" t="s">
        <v>32</v>
      </c>
    </row>
    <row r="59" spans="1:7" ht="105" x14ac:dyDescent="0.3">
      <c r="A59" s="101"/>
      <c r="B59" s="102" t="s">
        <v>366</v>
      </c>
      <c r="C59" s="66" t="s">
        <v>78</v>
      </c>
      <c r="D59" s="102" t="s">
        <v>77</v>
      </c>
      <c r="E59" s="66" t="s">
        <v>78</v>
      </c>
      <c r="F59" s="102" t="s">
        <v>362</v>
      </c>
      <c r="G59" s="66" t="s">
        <v>78</v>
      </c>
    </row>
    <row r="60" spans="1:7" ht="30" x14ac:dyDescent="0.3">
      <c r="A60" s="101"/>
      <c r="B60" s="102" t="s">
        <v>367</v>
      </c>
      <c r="C60" s="66" t="s">
        <v>79</v>
      </c>
      <c r="D60" s="102" t="s">
        <v>10</v>
      </c>
      <c r="E60" s="66" t="s">
        <v>79</v>
      </c>
      <c r="F60" s="102" t="s">
        <v>329</v>
      </c>
      <c r="G60" s="66" t="s">
        <v>79</v>
      </c>
    </row>
    <row r="61" spans="1:7" ht="15" x14ac:dyDescent="0.3">
      <c r="A61" s="67"/>
      <c r="B61" s="67"/>
      <c r="C61" s="67"/>
      <c r="D61" s="67"/>
      <c r="E61" s="67"/>
      <c r="F61" s="67"/>
      <c r="G61" s="67"/>
    </row>
    <row r="62" spans="1:7" ht="30" x14ac:dyDescent="0.3">
      <c r="A62" s="101" t="s">
        <v>352</v>
      </c>
      <c r="B62" s="102" t="s">
        <v>311</v>
      </c>
      <c r="C62" s="38" t="s">
        <v>314</v>
      </c>
      <c r="D62" s="102" t="s">
        <v>311</v>
      </c>
      <c r="E62" s="38" t="s">
        <v>314</v>
      </c>
      <c r="F62" s="102" t="s">
        <v>311</v>
      </c>
      <c r="G62" s="38" t="s">
        <v>314</v>
      </c>
    </row>
    <row r="63" spans="1:7" ht="30" x14ac:dyDescent="0.3">
      <c r="A63" s="101"/>
      <c r="B63" s="102" t="s">
        <v>312</v>
      </c>
      <c r="C63" s="38" t="s">
        <v>315</v>
      </c>
      <c r="D63" s="102" t="s">
        <v>312</v>
      </c>
      <c r="E63" s="38" t="s">
        <v>315</v>
      </c>
      <c r="F63" s="102" t="s">
        <v>312</v>
      </c>
      <c r="G63" s="38" t="s">
        <v>315</v>
      </c>
    </row>
    <row r="64" spans="1:7" ht="135" x14ac:dyDescent="0.3">
      <c r="A64" s="101"/>
      <c r="B64" s="102" t="s">
        <v>313</v>
      </c>
      <c r="C64" s="38" t="s">
        <v>316</v>
      </c>
      <c r="D64" s="102" t="s">
        <v>313</v>
      </c>
      <c r="E64" s="38" t="s">
        <v>316</v>
      </c>
      <c r="F64" s="102" t="s">
        <v>313</v>
      </c>
      <c r="G64" s="38" t="s">
        <v>316</v>
      </c>
    </row>
    <row r="65" spans="1:7" ht="15" x14ac:dyDescent="0.3">
      <c r="A65" s="67"/>
      <c r="B65" s="67"/>
      <c r="C65" s="67"/>
      <c r="D65" s="67"/>
      <c r="E65" s="67"/>
      <c r="F65" s="67"/>
      <c r="G65" s="67"/>
    </row>
    <row r="66" spans="1:7" ht="75" x14ac:dyDescent="0.3">
      <c r="A66" s="101" t="s">
        <v>361</v>
      </c>
      <c r="B66" s="102" t="s">
        <v>391</v>
      </c>
      <c r="C66" s="38" t="s">
        <v>33</v>
      </c>
      <c r="D66" s="102" t="s">
        <v>11</v>
      </c>
      <c r="E66" s="38" t="s">
        <v>33</v>
      </c>
      <c r="F66" s="102" t="s">
        <v>370</v>
      </c>
      <c r="G66" s="38" t="s">
        <v>33</v>
      </c>
    </row>
    <row r="67" spans="1:7" ht="75" x14ac:dyDescent="0.3">
      <c r="A67" s="101"/>
      <c r="B67" s="102" t="s">
        <v>392</v>
      </c>
      <c r="C67" s="38" t="s">
        <v>80</v>
      </c>
      <c r="D67" s="102" t="s">
        <v>368</v>
      </c>
      <c r="E67" s="38" t="s">
        <v>80</v>
      </c>
      <c r="F67" s="102" t="s">
        <v>12</v>
      </c>
      <c r="G67" s="38" t="s">
        <v>80</v>
      </c>
    </row>
    <row r="68" spans="1:7" ht="135" x14ac:dyDescent="0.3">
      <c r="A68" s="101"/>
      <c r="B68" s="102" t="s">
        <v>13</v>
      </c>
      <c r="C68" s="38" t="s">
        <v>81</v>
      </c>
      <c r="D68" s="102" t="s">
        <v>369</v>
      </c>
      <c r="E68" s="38" t="s">
        <v>81</v>
      </c>
      <c r="F68" s="102" t="s">
        <v>13</v>
      </c>
      <c r="G68" s="38" t="s">
        <v>81</v>
      </c>
    </row>
    <row r="69" spans="1:7" ht="15" x14ac:dyDescent="0.3">
      <c r="A69" s="67"/>
      <c r="B69" s="67"/>
      <c r="C69" s="67"/>
      <c r="D69" s="67"/>
      <c r="E69" s="67"/>
      <c r="F69" s="67"/>
      <c r="G69" s="67"/>
    </row>
    <row r="70" spans="1:7" ht="75" x14ac:dyDescent="0.3">
      <c r="A70" s="101" t="s">
        <v>59</v>
      </c>
      <c r="B70" s="102" t="s">
        <v>358</v>
      </c>
      <c r="C70" s="66" t="s">
        <v>83</v>
      </c>
      <c r="D70" s="102" t="s">
        <v>358</v>
      </c>
      <c r="E70" s="66" t="s">
        <v>83</v>
      </c>
      <c r="F70" s="102" t="s">
        <v>358</v>
      </c>
      <c r="G70" s="66" t="s">
        <v>83</v>
      </c>
    </row>
    <row r="71" spans="1:7" ht="60" x14ac:dyDescent="0.3">
      <c r="A71" s="101"/>
      <c r="B71" s="102" t="s">
        <v>359</v>
      </c>
      <c r="C71" s="38" t="s">
        <v>82</v>
      </c>
      <c r="D71" s="102" t="s">
        <v>359</v>
      </c>
      <c r="E71" s="38" t="s">
        <v>82</v>
      </c>
      <c r="F71" s="102" t="s">
        <v>359</v>
      </c>
      <c r="G71" s="38" t="s">
        <v>82</v>
      </c>
    </row>
    <row r="72" spans="1:7" ht="135" x14ac:dyDescent="0.3">
      <c r="A72" s="101"/>
      <c r="B72" s="102" t="s">
        <v>357</v>
      </c>
      <c r="C72" s="38" t="s">
        <v>34</v>
      </c>
      <c r="D72" s="102" t="s">
        <v>357</v>
      </c>
      <c r="E72" s="38" t="s">
        <v>34</v>
      </c>
      <c r="F72" s="102" t="s">
        <v>357</v>
      </c>
      <c r="G72" s="38" t="s">
        <v>34</v>
      </c>
    </row>
    <row r="73" spans="1:7" ht="15" x14ac:dyDescent="0.3">
      <c r="A73" s="67"/>
      <c r="B73" s="67"/>
      <c r="C73" s="67"/>
      <c r="D73" s="67"/>
      <c r="E73" s="67"/>
      <c r="F73" s="67"/>
      <c r="G73" s="67"/>
    </row>
    <row r="74" spans="1:7" ht="105.6" x14ac:dyDescent="0.3">
      <c r="A74" s="101" t="s">
        <v>353</v>
      </c>
      <c r="B74" s="102" t="s">
        <v>14</v>
      </c>
      <c r="C74" s="38" t="s">
        <v>85</v>
      </c>
      <c r="D74" s="102" t="s">
        <v>331</v>
      </c>
      <c r="E74" s="38" t="s">
        <v>85</v>
      </c>
      <c r="F74" s="102" t="s">
        <v>331</v>
      </c>
      <c r="G74" s="38" t="s">
        <v>338</v>
      </c>
    </row>
    <row r="75" spans="1:7" ht="30.6" x14ac:dyDescent="0.3">
      <c r="A75" s="101"/>
      <c r="B75" s="102" t="s">
        <v>15</v>
      </c>
      <c r="C75" s="38" t="s">
        <v>35</v>
      </c>
      <c r="D75" s="102" t="s">
        <v>332</v>
      </c>
      <c r="E75" s="38" t="s">
        <v>35</v>
      </c>
      <c r="F75" s="102" t="s">
        <v>332</v>
      </c>
      <c r="G75" s="66" t="s">
        <v>393</v>
      </c>
    </row>
    <row r="76" spans="1:7" ht="30" x14ac:dyDescent="0.3">
      <c r="A76" s="101"/>
      <c r="B76" s="102" t="s">
        <v>16</v>
      </c>
      <c r="C76" s="66" t="s">
        <v>84</v>
      </c>
      <c r="D76" s="102" t="s">
        <v>333</v>
      </c>
      <c r="E76" s="66" t="s">
        <v>84</v>
      </c>
      <c r="F76" s="102" t="s">
        <v>333</v>
      </c>
      <c r="G76" s="66" t="s">
        <v>394</v>
      </c>
    </row>
    <row r="77" spans="1:7" ht="15" x14ac:dyDescent="0.3">
      <c r="A77" s="67"/>
      <c r="B77" s="67"/>
      <c r="C77" s="67"/>
      <c r="D77" s="67"/>
      <c r="E77" s="67"/>
      <c r="F77" s="67"/>
      <c r="G77" s="67"/>
    </row>
    <row r="78" spans="1:7" ht="60" x14ac:dyDescent="0.3">
      <c r="A78" s="101" t="s">
        <v>60</v>
      </c>
      <c r="B78" s="102" t="s">
        <v>334</v>
      </c>
      <c r="C78" s="38" t="s">
        <v>86</v>
      </c>
      <c r="D78" s="102" t="s">
        <v>334</v>
      </c>
      <c r="E78" s="38" t="s">
        <v>86</v>
      </c>
      <c r="F78" s="102" t="s">
        <v>334</v>
      </c>
      <c r="G78" s="38" t="s">
        <v>339</v>
      </c>
    </row>
    <row r="79" spans="1:7" ht="30" x14ac:dyDescent="0.3">
      <c r="A79" s="101"/>
      <c r="B79" s="102" t="s">
        <v>350</v>
      </c>
      <c r="C79" s="38" t="s">
        <v>36</v>
      </c>
      <c r="D79" s="102" t="s">
        <v>350</v>
      </c>
      <c r="E79" s="38" t="s">
        <v>36</v>
      </c>
      <c r="F79" s="102" t="s">
        <v>350</v>
      </c>
      <c r="G79" s="38" t="s">
        <v>36</v>
      </c>
    </row>
    <row r="80" spans="1:7" ht="30" x14ac:dyDescent="0.3">
      <c r="A80" s="101"/>
      <c r="B80" s="102" t="s">
        <v>87</v>
      </c>
      <c r="C80" s="38" t="s">
        <v>37</v>
      </c>
      <c r="D80" s="102" t="s">
        <v>87</v>
      </c>
      <c r="E80" s="38" t="s">
        <v>37</v>
      </c>
      <c r="F80" s="102" t="s">
        <v>87</v>
      </c>
      <c r="G80" s="38" t="s">
        <v>340</v>
      </c>
    </row>
    <row r="81" spans="1:7" ht="15" x14ac:dyDescent="0.3">
      <c r="A81" s="101"/>
      <c r="B81" s="102"/>
      <c r="C81" s="38"/>
      <c r="D81" s="102"/>
      <c r="E81" s="38"/>
      <c r="F81" s="102"/>
      <c r="G81" s="38"/>
    </row>
    <row r="82" spans="1:7" ht="15" x14ac:dyDescent="0.3">
      <c r="A82" s="67"/>
      <c r="B82" s="67"/>
      <c r="C82" s="68"/>
      <c r="D82" s="67"/>
      <c r="E82" s="68"/>
      <c r="F82" s="67"/>
      <c r="G82" s="68"/>
    </row>
    <row r="83" spans="1:7" ht="45" x14ac:dyDescent="0.3">
      <c r="A83" s="101" t="s">
        <v>61</v>
      </c>
      <c r="B83" s="102" t="s">
        <v>334</v>
      </c>
      <c r="C83" s="66" t="s">
        <v>88</v>
      </c>
      <c r="D83" s="102" t="s">
        <v>334</v>
      </c>
      <c r="E83" s="66" t="s">
        <v>88</v>
      </c>
      <c r="F83" s="102" t="s">
        <v>334</v>
      </c>
      <c r="G83" s="66"/>
    </row>
    <row r="84" spans="1:7" ht="45" x14ac:dyDescent="0.3">
      <c r="A84" s="101"/>
      <c r="B84" s="102" t="s">
        <v>350</v>
      </c>
      <c r="C84" s="66" t="s">
        <v>89</v>
      </c>
      <c r="D84" s="102" t="s">
        <v>350</v>
      </c>
      <c r="E84" s="66" t="s">
        <v>89</v>
      </c>
      <c r="F84" s="102" t="s">
        <v>350</v>
      </c>
      <c r="G84" s="66"/>
    </row>
    <row r="85" spans="1:7" ht="90" x14ac:dyDescent="0.3">
      <c r="A85" s="101"/>
      <c r="B85" s="102" t="s">
        <v>87</v>
      </c>
      <c r="C85" s="66" t="s">
        <v>90</v>
      </c>
      <c r="D85" s="102" t="s">
        <v>87</v>
      </c>
      <c r="E85" s="66" t="s">
        <v>90</v>
      </c>
      <c r="F85" s="102" t="s">
        <v>87</v>
      </c>
      <c r="G85" s="66" t="s">
        <v>341</v>
      </c>
    </row>
    <row r="86" spans="1:7" ht="15" x14ac:dyDescent="0.3">
      <c r="A86" s="67"/>
      <c r="B86" s="67"/>
      <c r="C86" s="67"/>
      <c r="D86" s="67"/>
      <c r="E86" s="67"/>
      <c r="F86" s="67"/>
      <c r="G86" s="67"/>
    </row>
    <row r="87" spans="1:7" ht="30" x14ac:dyDescent="0.3">
      <c r="A87" s="101" t="s">
        <v>62</v>
      </c>
      <c r="B87" s="102" t="s">
        <v>334</v>
      </c>
      <c r="C87" s="38" t="s">
        <v>39</v>
      </c>
      <c r="D87" s="102" t="s">
        <v>334</v>
      </c>
      <c r="E87" s="38" t="s">
        <v>39</v>
      </c>
      <c r="F87" s="102" t="s">
        <v>334</v>
      </c>
      <c r="G87" s="38" t="s">
        <v>39</v>
      </c>
    </row>
    <row r="88" spans="1:7" ht="60" x14ac:dyDescent="0.3">
      <c r="A88" s="101"/>
      <c r="B88" s="102" t="s">
        <v>350</v>
      </c>
      <c r="C88" s="38" t="s">
        <v>38</v>
      </c>
      <c r="D88" s="102" t="s">
        <v>350</v>
      </c>
      <c r="E88" s="38" t="s">
        <v>38</v>
      </c>
      <c r="F88" s="102" t="s">
        <v>350</v>
      </c>
      <c r="G88" s="38" t="s">
        <v>38</v>
      </c>
    </row>
    <row r="89" spans="1:7" ht="75" x14ac:dyDescent="0.3">
      <c r="A89" s="101"/>
      <c r="B89" s="102" t="s">
        <v>87</v>
      </c>
      <c r="C89" s="38" t="s">
        <v>91</v>
      </c>
      <c r="D89" s="102" t="s">
        <v>87</v>
      </c>
      <c r="E89" s="38" t="s">
        <v>91</v>
      </c>
      <c r="F89" s="102" t="s">
        <v>87</v>
      </c>
      <c r="G89" s="38" t="s">
        <v>91</v>
      </c>
    </row>
    <row r="90" spans="1:7" ht="15" x14ac:dyDescent="0.3">
      <c r="A90" s="67"/>
      <c r="B90" s="67"/>
      <c r="C90" s="67"/>
      <c r="D90" s="67"/>
      <c r="E90" s="67"/>
      <c r="F90" s="67"/>
      <c r="G90" s="67"/>
    </row>
    <row r="91" spans="1:7" ht="30" x14ac:dyDescent="0.3">
      <c r="A91" s="101" t="s">
        <v>178</v>
      </c>
      <c r="B91" s="102" t="s">
        <v>179</v>
      </c>
      <c r="C91" s="38" t="s">
        <v>182</v>
      </c>
      <c r="D91" s="102" t="s">
        <v>179</v>
      </c>
      <c r="E91" s="38" t="s">
        <v>182</v>
      </c>
      <c r="F91" s="102" t="s">
        <v>179</v>
      </c>
      <c r="G91" s="38" t="s">
        <v>182</v>
      </c>
    </row>
    <row r="92" spans="1:7" ht="60" x14ac:dyDescent="0.3">
      <c r="A92" s="101"/>
      <c r="B92" s="102" t="s">
        <v>181</v>
      </c>
      <c r="C92" s="38" t="s">
        <v>183</v>
      </c>
      <c r="D92" s="102" t="s">
        <v>181</v>
      </c>
      <c r="E92" s="38" t="s">
        <v>183</v>
      </c>
      <c r="F92" s="102" t="s">
        <v>181</v>
      </c>
      <c r="G92" s="38" t="s">
        <v>183</v>
      </c>
    </row>
    <row r="93" spans="1:7" ht="90" x14ac:dyDescent="0.3">
      <c r="A93" s="101"/>
      <c r="B93" s="102" t="s">
        <v>180</v>
      </c>
      <c r="C93" s="38" t="s">
        <v>184</v>
      </c>
      <c r="D93" s="102" t="s">
        <v>180</v>
      </c>
      <c r="E93" s="38" t="s">
        <v>184</v>
      </c>
      <c r="F93" s="102" t="s">
        <v>180</v>
      </c>
      <c r="G93" s="38" t="s">
        <v>184</v>
      </c>
    </row>
    <row r="94" spans="1:7" ht="15" x14ac:dyDescent="0.3">
      <c r="A94" s="67"/>
      <c r="B94" s="67"/>
      <c r="C94" s="67"/>
      <c r="D94" s="67"/>
      <c r="E94" s="67"/>
      <c r="F94" s="67"/>
      <c r="G94" s="67"/>
    </row>
    <row r="95" spans="1:7" ht="60" x14ac:dyDescent="0.3">
      <c r="A95" s="101" t="s">
        <v>63</v>
      </c>
      <c r="B95" s="102" t="s">
        <v>334</v>
      </c>
      <c r="C95" s="38" t="s">
        <v>92</v>
      </c>
      <c r="D95" s="102" t="s">
        <v>334</v>
      </c>
      <c r="E95" s="38" t="s">
        <v>92</v>
      </c>
      <c r="F95" s="102" t="s">
        <v>334</v>
      </c>
      <c r="G95" s="38" t="s">
        <v>395</v>
      </c>
    </row>
    <row r="96" spans="1:7" ht="120" x14ac:dyDescent="0.3">
      <c r="A96" s="101"/>
      <c r="B96" s="102" t="s">
        <v>350</v>
      </c>
      <c r="C96" s="38" t="s">
        <v>41</v>
      </c>
      <c r="D96" s="102" t="s">
        <v>350</v>
      </c>
      <c r="E96" s="38" t="s">
        <v>41</v>
      </c>
      <c r="F96" s="102" t="s">
        <v>350</v>
      </c>
      <c r="G96" s="38" t="s">
        <v>396</v>
      </c>
    </row>
    <row r="97" spans="1:7" ht="150" x14ac:dyDescent="0.3">
      <c r="A97" s="101"/>
      <c r="B97" s="102" t="s">
        <v>87</v>
      </c>
      <c r="C97" s="38" t="s">
        <v>40</v>
      </c>
      <c r="D97" s="102" t="s">
        <v>87</v>
      </c>
      <c r="E97" s="38" t="s">
        <v>40</v>
      </c>
      <c r="F97" s="102" t="s">
        <v>87</v>
      </c>
      <c r="G97" s="38" t="s">
        <v>342</v>
      </c>
    </row>
    <row r="98" spans="1:7" ht="15" x14ac:dyDescent="0.3">
      <c r="A98" s="67"/>
      <c r="B98" s="67"/>
      <c r="C98" s="67"/>
      <c r="D98" s="67"/>
      <c r="E98" s="67"/>
      <c r="F98" s="67"/>
      <c r="G98" s="67"/>
    </row>
    <row r="99" spans="1:7" ht="60" x14ac:dyDescent="0.3">
      <c r="A99" s="101" t="s">
        <v>371</v>
      </c>
      <c r="B99" s="102" t="s">
        <v>375</v>
      </c>
      <c r="C99" s="66" t="s">
        <v>390</v>
      </c>
      <c r="D99" s="102" t="s">
        <v>375</v>
      </c>
      <c r="E99" s="66" t="s">
        <v>390</v>
      </c>
      <c r="F99" s="102" t="s">
        <v>375</v>
      </c>
      <c r="G99" s="66" t="s">
        <v>390</v>
      </c>
    </row>
    <row r="100" spans="1:7" ht="90" x14ac:dyDescent="0.3">
      <c r="A100" s="101"/>
      <c r="B100" s="102" t="s">
        <v>376</v>
      </c>
      <c r="C100" s="66" t="s">
        <v>378</v>
      </c>
      <c r="D100" s="102" t="s">
        <v>376</v>
      </c>
      <c r="E100" s="66" t="s">
        <v>378</v>
      </c>
      <c r="F100" s="102" t="s">
        <v>376</v>
      </c>
      <c r="G100" s="66" t="s">
        <v>378</v>
      </c>
    </row>
    <row r="101" spans="1:7" ht="105" x14ac:dyDescent="0.3">
      <c r="A101" s="101"/>
      <c r="B101" s="102" t="s">
        <v>377</v>
      </c>
      <c r="C101" s="66" t="s">
        <v>379</v>
      </c>
      <c r="D101" s="102" t="s">
        <v>377</v>
      </c>
      <c r="E101" s="66" t="s">
        <v>379</v>
      </c>
      <c r="F101" s="102" t="s">
        <v>377</v>
      </c>
      <c r="G101" s="66" t="s">
        <v>379</v>
      </c>
    </row>
    <row r="102" spans="1:7" ht="15" x14ac:dyDescent="0.3">
      <c r="A102" s="67"/>
      <c r="B102" s="67"/>
      <c r="C102" s="67"/>
      <c r="D102" s="67"/>
      <c r="E102" s="67"/>
      <c r="F102" s="67"/>
      <c r="G102" s="67"/>
    </row>
    <row r="103" spans="1:7" ht="30" customHeight="1" x14ac:dyDescent="0.3">
      <c r="A103" s="131"/>
      <c r="B103" s="132"/>
      <c r="C103" s="132"/>
    </row>
    <row r="104" spans="1:7" ht="30" customHeight="1" x14ac:dyDescent="0.3">
      <c r="A104" s="131"/>
      <c r="B104" s="132"/>
      <c r="C104" s="132"/>
    </row>
    <row r="105" spans="1:7" ht="30" customHeight="1" x14ac:dyDescent="0.3">
      <c r="A105" s="131"/>
      <c r="B105" s="132"/>
      <c r="C105" s="132"/>
    </row>
    <row r="106" spans="1:7" ht="30" customHeight="1" x14ac:dyDescent="0.3">
      <c r="A106" s="131"/>
      <c r="B106" s="132"/>
      <c r="C106" s="132"/>
    </row>
    <row r="107" spans="1:7" ht="30" customHeight="1" x14ac:dyDescent="0.3">
      <c r="A107" s="131"/>
      <c r="B107" s="132"/>
      <c r="C107" s="132"/>
    </row>
    <row r="108" spans="1:7" ht="30" customHeight="1" x14ac:dyDescent="0.3">
      <c r="A108" s="131"/>
      <c r="B108" s="132"/>
      <c r="C108" s="132"/>
    </row>
    <row r="109" spans="1:7" ht="30" customHeight="1" x14ac:dyDescent="0.3">
      <c r="A109" s="131"/>
      <c r="B109" s="132"/>
      <c r="C109" s="132"/>
    </row>
    <row r="110" spans="1:7" ht="30" customHeight="1" x14ac:dyDescent="0.3">
      <c r="A110" s="131"/>
      <c r="B110" s="132"/>
      <c r="C110" s="132"/>
    </row>
    <row r="111" spans="1:7" ht="30" customHeight="1" x14ac:dyDescent="0.3">
      <c r="A111" s="131"/>
      <c r="B111" s="132"/>
      <c r="C111" s="132"/>
    </row>
    <row r="112" spans="1:7" ht="30" customHeight="1" x14ac:dyDescent="0.3">
      <c r="A112" s="131"/>
      <c r="B112" s="132"/>
      <c r="C112" s="132"/>
    </row>
    <row r="113" spans="1:3" ht="30" customHeight="1" x14ac:dyDescent="0.3">
      <c r="A113" s="131"/>
      <c r="B113" s="132"/>
      <c r="C113" s="132"/>
    </row>
    <row r="114" spans="1:3" ht="30" customHeight="1" x14ac:dyDescent="0.3">
      <c r="A114" s="131"/>
      <c r="B114" s="132"/>
      <c r="C114" s="132"/>
    </row>
    <row r="115" spans="1:3" ht="30" customHeight="1" x14ac:dyDescent="0.3">
      <c r="A115" s="131"/>
      <c r="B115" s="132"/>
      <c r="C115" s="132"/>
    </row>
    <row r="116" spans="1:3" ht="30" customHeight="1" x14ac:dyDescent="0.3">
      <c r="A116" s="133"/>
      <c r="B116" s="130"/>
      <c r="C116" s="130"/>
    </row>
    <row r="117" spans="1:3" ht="30" customHeight="1" x14ac:dyDescent="0.3">
      <c r="A117" s="133"/>
      <c r="B117" s="130"/>
      <c r="C117" s="130"/>
    </row>
    <row r="118" spans="1:3" ht="30" customHeight="1" x14ac:dyDescent="0.3">
      <c r="A118" s="133"/>
      <c r="B118" s="130"/>
      <c r="C118" s="130"/>
    </row>
    <row r="119" spans="1:3" ht="30" customHeight="1" x14ac:dyDescent="0.3">
      <c r="A119" s="133"/>
      <c r="B119" s="130"/>
      <c r="C119" s="130"/>
    </row>
    <row r="120" spans="1:3" ht="30" customHeight="1" x14ac:dyDescent="0.3">
      <c r="A120" s="133"/>
      <c r="B120" s="130"/>
      <c r="C120" s="130"/>
    </row>
    <row r="121" spans="1:3" x14ac:dyDescent="0.3">
      <c r="A121" s="133"/>
      <c r="B121" s="130"/>
      <c r="C121" s="130"/>
    </row>
    <row r="122" spans="1:3" x14ac:dyDescent="0.3">
      <c r="A122" s="133"/>
      <c r="B122" s="130"/>
      <c r="C122" s="130"/>
    </row>
    <row r="123" spans="1:3" x14ac:dyDescent="0.3">
      <c r="A123" s="133"/>
      <c r="B123" s="130"/>
      <c r="C123" s="130"/>
    </row>
    <row r="124" spans="1:3" x14ac:dyDescent="0.3">
      <c r="A124" s="133"/>
      <c r="B124" s="130"/>
      <c r="C124" s="130"/>
    </row>
    <row r="125" spans="1:3" x14ac:dyDescent="0.3">
      <c r="A125" s="133"/>
      <c r="B125" s="130"/>
      <c r="C125" s="130"/>
    </row>
    <row r="126" spans="1:3" x14ac:dyDescent="0.3">
      <c r="A126" s="133"/>
      <c r="B126" s="130"/>
      <c r="C126" s="130"/>
    </row>
    <row r="127" spans="1:3" x14ac:dyDescent="0.3">
      <c r="A127" s="133"/>
      <c r="B127" s="130"/>
      <c r="C127" s="130"/>
    </row>
    <row r="128" spans="1:3" x14ac:dyDescent="0.3">
      <c r="A128" s="133"/>
      <c r="B128" s="130"/>
      <c r="C128" s="130"/>
    </row>
    <row r="129" spans="1:3" x14ac:dyDescent="0.3">
      <c r="A129" s="133"/>
      <c r="B129" s="130"/>
      <c r="C129" s="130"/>
    </row>
    <row r="130" spans="1:3" x14ac:dyDescent="0.3">
      <c r="A130" s="133"/>
      <c r="B130" s="130"/>
      <c r="C130" s="130"/>
    </row>
  </sheetData>
  <sheetProtection algorithmName="SHA-512" hashValue="Dpfz6dobTj0P9aRhSBJWJMSuPRRj8aCvG59p/af1XgpI49ljBja7W4iqmh1aNGnyEepzpgq3BhKa/qhIm8VsUQ==" saltValue="30eN/S83LwvQhffIulhcaw==" spinCount="100000" sheet="1" objects="1" scenarios="1"/>
  <mergeCells count="28">
    <mergeCell ref="A126:C126"/>
    <mergeCell ref="A111:C111"/>
    <mergeCell ref="A112:C112"/>
    <mergeCell ref="A113:C113"/>
    <mergeCell ref="A107:C107"/>
    <mergeCell ref="A106:C106"/>
    <mergeCell ref="A103:C103"/>
    <mergeCell ref="A127:C127"/>
    <mergeCell ref="A128:C128"/>
    <mergeCell ref="A129:C129"/>
    <mergeCell ref="A130:C130"/>
    <mergeCell ref="A120:C120"/>
    <mergeCell ref="A121:C121"/>
    <mergeCell ref="A122:C122"/>
    <mergeCell ref="A123:C123"/>
    <mergeCell ref="A124:C124"/>
    <mergeCell ref="A125:C125"/>
    <mergeCell ref="A114:C114"/>
    <mergeCell ref="A115:C115"/>
    <mergeCell ref="A116:C116"/>
    <mergeCell ref="A117:C117"/>
    <mergeCell ref="A118:C118"/>
    <mergeCell ref="A119:C119"/>
    <mergeCell ref="A108:C108"/>
    <mergeCell ref="A109:C109"/>
    <mergeCell ref="A110:C110"/>
    <mergeCell ref="A104:C104"/>
    <mergeCell ref="A105:C105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F1A5C-716A-4D98-963B-DB501DBAA91C}">
  <dimension ref="A1:B39"/>
  <sheetViews>
    <sheetView workbookViewId="0">
      <selection activeCell="A18" sqref="A18"/>
    </sheetView>
  </sheetViews>
  <sheetFormatPr defaultRowHeight="15" x14ac:dyDescent="0.3"/>
  <cols>
    <col min="1" max="1" width="54" style="36" customWidth="1"/>
    <col min="2" max="2" width="38.5546875" style="36" bestFit="1" customWidth="1"/>
    <col min="3" max="16384" width="8.88671875" style="36"/>
  </cols>
  <sheetData>
    <row r="1" spans="1:2" x14ac:dyDescent="0.3">
      <c r="A1" s="3" t="s">
        <v>26</v>
      </c>
      <c r="B1" s="3"/>
    </row>
    <row r="2" spans="1:2" x14ac:dyDescent="0.3">
      <c r="A2" s="3" t="s">
        <v>18</v>
      </c>
      <c r="B2" s="3"/>
    </row>
    <row r="3" spans="1:2" x14ac:dyDescent="0.3">
      <c r="A3" s="3" t="s">
        <v>29</v>
      </c>
      <c r="B3" s="3"/>
    </row>
    <row r="4" spans="1:2" x14ac:dyDescent="0.3">
      <c r="A4" s="3" t="s">
        <v>28</v>
      </c>
      <c r="B4" s="3"/>
    </row>
    <row r="5" spans="1:2" x14ac:dyDescent="0.3">
      <c r="A5" s="3" t="s">
        <v>19</v>
      </c>
      <c r="B5" s="3"/>
    </row>
    <row r="6" spans="1:2" x14ac:dyDescent="0.3">
      <c r="A6" s="3"/>
      <c r="B6" s="3"/>
    </row>
    <row r="7" spans="1:2" x14ac:dyDescent="0.3">
      <c r="A7" s="3"/>
      <c r="B7" s="3"/>
    </row>
    <row r="8" spans="1:2" x14ac:dyDescent="0.3">
      <c r="A8" s="3"/>
      <c r="B8" s="3"/>
    </row>
    <row r="9" spans="1:2" x14ac:dyDescent="0.3">
      <c r="A9" s="3"/>
      <c r="B9" s="3"/>
    </row>
    <row r="10" spans="1:2" ht="17.399999999999999" x14ac:dyDescent="0.3">
      <c r="A10" s="74" t="s">
        <v>195</v>
      </c>
      <c r="B10" s="73"/>
    </row>
    <row r="11" spans="1:2" ht="17.399999999999999" x14ac:dyDescent="0.3">
      <c r="A11" s="71" t="s">
        <v>153</v>
      </c>
      <c r="B11" s="3"/>
    </row>
    <row r="12" spans="1:2" ht="30" x14ac:dyDescent="0.3">
      <c r="A12" s="38" t="s">
        <v>135</v>
      </c>
      <c r="B12" s="39"/>
    </row>
    <row r="13" spans="1:2" ht="75" x14ac:dyDescent="0.3">
      <c r="A13" s="38" t="s">
        <v>107</v>
      </c>
      <c r="B13" s="39"/>
    </row>
    <row r="14" spans="1:2" ht="30" x14ac:dyDescent="0.3">
      <c r="A14" s="38" t="s">
        <v>276</v>
      </c>
      <c r="B14" s="39"/>
    </row>
    <row r="15" spans="1:2" x14ac:dyDescent="0.3">
      <c r="A15" s="3"/>
      <c r="B15" s="73"/>
    </row>
    <row r="16" spans="1:2" x14ac:dyDescent="0.3">
      <c r="A16" s="3"/>
      <c r="B16" s="73"/>
    </row>
    <row r="17" spans="1:2" ht="15.6" x14ac:dyDescent="0.3">
      <c r="A17" s="70" t="s">
        <v>152</v>
      </c>
      <c r="B17" s="73"/>
    </row>
    <row r="18" spans="1:2" x14ac:dyDescent="0.3">
      <c r="A18" s="39">
        <v>360</v>
      </c>
      <c r="B18" s="73"/>
    </row>
    <row r="19" spans="1:2" x14ac:dyDescent="0.3">
      <c r="A19" s="39">
        <v>150</v>
      </c>
      <c r="B19" s="73"/>
    </row>
    <row r="20" spans="1:2" ht="30" x14ac:dyDescent="0.3">
      <c r="A20" s="75" t="s">
        <v>192</v>
      </c>
      <c r="B20" s="73"/>
    </row>
    <row r="21" spans="1:2" x14ac:dyDescent="0.3">
      <c r="A21" s="3" t="s">
        <v>400</v>
      </c>
      <c r="B21" s="73"/>
    </row>
    <row r="22" spans="1:2" x14ac:dyDescent="0.3">
      <c r="A22" s="3"/>
      <c r="B22" s="73"/>
    </row>
    <row r="23" spans="1:2" x14ac:dyDescent="0.3">
      <c r="A23" s="3"/>
      <c r="B23" s="73"/>
    </row>
    <row r="24" spans="1:2" x14ac:dyDescent="0.3">
      <c r="A24" s="3"/>
      <c r="B24" s="73"/>
    </row>
    <row r="25" spans="1:2" x14ac:dyDescent="0.3">
      <c r="A25" s="3"/>
      <c r="B25" s="73"/>
    </row>
    <row r="26" spans="1:2" x14ac:dyDescent="0.3">
      <c r="A26" s="3"/>
      <c r="B26" s="73"/>
    </row>
    <row r="27" spans="1:2" x14ac:dyDescent="0.3">
      <c r="A27" s="3"/>
      <c r="B27" s="73"/>
    </row>
    <row r="28" spans="1:2" x14ac:dyDescent="0.3">
      <c r="A28" s="3"/>
      <c r="B28" s="39"/>
    </row>
    <row r="29" spans="1:2" x14ac:dyDescent="0.3">
      <c r="A29" s="3"/>
      <c r="B29" s="3"/>
    </row>
    <row r="30" spans="1:2" x14ac:dyDescent="0.3">
      <c r="A30" s="3"/>
      <c r="B30" s="3"/>
    </row>
    <row r="31" spans="1:2" ht="15.6" x14ac:dyDescent="0.3">
      <c r="A31" s="69" t="s">
        <v>98</v>
      </c>
      <c r="B31" s="3"/>
    </row>
    <row r="32" spans="1:2" x14ac:dyDescent="0.3">
      <c r="A32" s="115" t="s">
        <v>99</v>
      </c>
      <c r="B32" s="63" t="s">
        <v>100</v>
      </c>
    </row>
    <row r="33" spans="1:2" x14ac:dyDescent="0.25">
      <c r="A33" s="115" t="s">
        <v>101</v>
      </c>
      <c r="B33" s="64" t="s">
        <v>102</v>
      </c>
    </row>
    <row r="34" spans="1:2" x14ac:dyDescent="0.25">
      <c r="A34" s="3"/>
      <c r="B34" s="64" t="s">
        <v>103</v>
      </c>
    </row>
    <row r="35" spans="1:2" x14ac:dyDescent="0.3">
      <c r="A35" s="3"/>
      <c r="B35" s="65" t="s">
        <v>104</v>
      </c>
    </row>
    <row r="36" spans="1:2" x14ac:dyDescent="0.3">
      <c r="A36" s="3"/>
      <c r="B36" s="65" t="s">
        <v>105</v>
      </c>
    </row>
    <row r="37" spans="1:2" x14ac:dyDescent="0.3">
      <c r="A37" s="3"/>
      <c r="B37" s="65" t="s">
        <v>106</v>
      </c>
    </row>
    <row r="38" spans="1:2" x14ac:dyDescent="0.3">
      <c r="A38" s="3"/>
      <c r="B38" s="3"/>
    </row>
    <row r="39" spans="1:2" x14ac:dyDescent="0.3">
      <c r="A39" s="3"/>
      <c r="B39" s="3"/>
    </row>
  </sheetData>
  <sheetProtection algorithmName="SHA-512" hashValue="IxCl1fnteFrooU3ZS8WPlhz1TATbscR+rxlYZPhZ+G01q2h0cmpczrCunqXCnyx8p74WoV3vV0Mx+ihYphBQZQ==" saltValue="OBZNTDff4S1B0c0ebUJL+g==" spinCount="100000" sheet="1" objects="1" scenarios="1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F59F6-2F77-4199-AE48-182F5C496A44}">
  <dimension ref="A1:A3"/>
  <sheetViews>
    <sheetView workbookViewId="0">
      <selection activeCell="A18" sqref="A18"/>
    </sheetView>
  </sheetViews>
  <sheetFormatPr defaultRowHeight="14.4" x14ac:dyDescent="0.3"/>
  <cols>
    <col min="1" max="1" width="16.109375" customWidth="1"/>
  </cols>
  <sheetData>
    <row r="1" spans="1:1" ht="15.6" x14ac:dyDescent="0.3">
      <c r="A1" s="57" t="s">
        <v>52</v>
      </c>
    </row>
    <row r="2" spans="1:1" ht="15.6" x14ac:dyDescent="0.3">
      <c r="A2" s="55" t="s">
        <v>53</v>
      </c>
    </row>
    <row r="3" spans="1:1" ht="15.6" x14ac:dyDescent="0.3">
      <c r="A3" s="56" t="s">
        <v>54</v>
      </c>
    </row>
  </sheetData>
  <sheetProtection algorithmName="SHA-512" hashValue="zEpJiCzsOEAQRvfI+afsAa2geOgAHWOLhHyVjWgcDuja7R69+hHedzXhM46yli9/pHqAIjfpn3C5uYCnJ6wbsg==" saltValue="E8WL1rvrfF++MMPYpJdUBw==" spinCount="100000" sheet="1" objects="1" scenarios="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Canvas</vt:lpstr>
      <vt:lpstr>Insights</vt:lpstr>
      <vt:lpstr>Ações</vt:lpstr>
      <vt:lpstr>Entrada de dados</vt:lpstr>
      <vt:lpstr>Relatório</vt:lpstr>
      <vt:lpstr>Assinatura</vt:lpstr>
      <vt:lpstr>lista</vt:lpstr>
      <vt:lpstr>'Entrada de dados'!Area_de_impressao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Edivan Carvalho</cp:lastModifiedBy>
  <cp:lastPrinted>2023-12-08T09:33:29Z</cp:lastPrinted>
  <dcterms:created xsi:type="dcterms:W3CDTF">2020-07-21T00:56:50Z</dcterms:created>
  <dcterms:modified xsi:type="dcterms:W3CDTF">2025-08-01T17:30:11Z</dcterms:modified>
</cp:coreProperties>
</file>